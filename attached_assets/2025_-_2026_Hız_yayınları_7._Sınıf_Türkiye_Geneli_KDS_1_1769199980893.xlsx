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. Sınıf Denemeol" sheetId="1" r:id="rId4"/>
    <sheet state="visible" name="7. Sınıf Fernus" sheetId="2" r:id="rId5"/>
    <sheet state="visible" name="A" sheetId="3" r:id="rId6"/>
  </sheets>
  <definedNames/>
  <calcPr/>
</workbook>
</file>

<file path=xl/sharedStrings.xml><?xml version="1.0" encoding="utf-8"?>
<sst xmlns="http://schemas.openxmlformats.org/spreadsheetml/2006/main" count="2076" uniqueCount="517">
  <si>
    <t>TÜRKÇE</t>
  </si>
  <si>
    <t>KAZANIM</t>
  </si>
  <si>
    <t>A</t>
  </si>
  <si>
    <t>B</t>
  </si>
  <si>
    <t>T.7.3.5.16. Eş sesli kelimelerin anlamlarını ayırt eder.</t>
  </si>
  <si>
    <t>C</t>
  </si>
  <si>
    <t>T.7.3.5.1. Bağlamdan yararlanarak bilmediği kelime ve kelime gruplarının anlamını tahmin eder.</t>
  </si>
  <si>
    <t>T.7.4.4.3. Metinde boş bırakılan bölümü anlam akışına göre tamamlar.</t>
  </si>
  <si>
    <t>T.7.3.28.2. Cümlede anlatılmak istenileni yorumlar.</t>
  </si>
  <si>
    <t>D</t>
  </si>
  <si>
    <t>T.7.3.37. Metinde kullanılan düşünceyi geliştirme yollarını belirler.</t>
  </si>
  <si>
    <t>T.7.3.28.16. Cümledeki örtülü anlamı tespit eder.</t>
  </si>
  <si>
    <t>T.7.3.17.1. Metnin ana fikrini/ana duygusunu belirler.</t>
  </si>
  <si>
    <t>T.7.3.28.18. Karışık olarak verilen sözcüklerden cümle oluşturur.</t>
  </si>
  <si>
    <t>T.7.3.18. Metindeki yardımcı fikirleri belirler.</t>
  </si>
  <si>
    <t>T.7.3.24.2. Sözel mantık ve muhakeme sorularına cevap verir.</t>
  </si>
  <si>
    <t>T.7.3.34. Grafik, tablo ve çizelgeyle sunulan bilgileri yorumlar.</t>
  </si>
  <si>
    <t>T.7.3.38. Metindeki iş ve işlem basamaklarını kavrar.</t>
  </si>
  <si>
    <t>T.7.3.29.1. Metin türlerini ayırt eder.</t>
  </si>
  <si>
    <t>T.7.3.12.1. Fiillerin anlam özelliklerini fark eder.</t>
  </si>
  <si>
    <t>SOSYAL BİLGİLER</t>
  </si>
  <si>
    <t>SB.7.1.1. İletişimi etkileyen tutum ve davranışları analiz ederek kendi tutum ve davranışlarını sorgular.</t>
  </si>
  <si>
    <t>SB.7.1.2. Bireysel ve toplumsal ilişkilerde olumlu iletişim yollarını kullanır.</t>
  </si>
  <si>
    <t>SB.7.1.3. Medyanın sosyal değişim ve etkileşimdeki rolünü tartışır.</t>
  </si>
  <si>
    <t>SB.7.1.4. İletişim araçlarından yararlanırken haklarını kullanır ve sorumluluklarını yerine getirir.</t>
  </si>
  <si>
    <t>SB.7.2.1. Osmanlı Devleti'nin siyasi güç olarak ortaya çıkış sürecini ve bu süreci etkileyen faktörleri açıklar.</t>
  </si>
  <si>
    <t>DİN KÜLTÜRÜ VE AHLAK BİLGİSİ</t>
  </si>
  <si>
    <t>D.7.1.1. Varlıklar âlemini özelliklerine göre ayırt eder.</t>
  </si>
  <si>
    <t>D.7.1.2. Melekleri özellikleri ve görevlerine göre sınıflandırır.</t>
  </si>
  <si>
    <t>D.7.1.4. Ahiret hayatının aşamalarını açıklar.</t>
  </si>
  <si>
    <t>D.7.1.3. Dünya hayatı ile ahiret hayatı arasındaki ilişkiyi yorumlar.</t>
  </si>
  <si>
    <t>D.7.1.5. Allah'ın (c.c.) adil, merhametli ve affedici olması ile ahiret inancı arasında ilişki kurar.</t>
  </si>
  <si>
    <t>İNGİLİZCE</t>
  </si>
  <si>
    <t>E.7.1.1. Describing characters/people (Making simple inquiries)</t>
  </si>
  <si>
    <t>E.7.1.2. Making simple comparisons (Giving explanations/reasons)</t>
  </si>
  <si>
    <t>MATEMATİK</t>
  </si>
  <si>
    <t>M.7.1.1.1. Tam sayılarla toplama ve çıkarma işlemlerini yapar, İlgili problemleri çözer.</t>
  </si>
  <si>
    <t>M.7.1.1.2. Toplama işleminin özelliklerini akıcı işlem yapmak için birer strateji olarak kullanır.</t>
  </si>
  <si>
    <t>M.7.1.1.3. Tam sayılarla çarpma ve bölme işlemlerini yapar.</t>
  </si>
  <si>
    <t>M.7.1.1.5. Tam sayılarla işlemler yapmayı gerektiren problemleri çözer.</t>
  </si>
  <si>
    <t>M.7.1.1.4. Tam sayıların kendileri ile tekrarlı çarpımını üslü nicelik olarak ifade eder.</t>
  </si>
  <si>
    <t>FEN BİLİMLERİ</t>
  </si>
  <si>
    <t>F.7.1.1.1. Uzay teknolojilerini açıklar.</t>
  </si>
  <si>
    <t>F.7.1.2.1. Yıldız oluşum sürecinin farkına varır.</t>
  </si>
  <si>
    <t>F.7.1.1.3. Teknoloji ile uzay araştırmaları arasındaki ilişkiyi açıklar.</t>
  </si>
  <si>
    <t>F.7.1.2.2. Yıldız kavramını açıklar.</t>
  </si>
  <si>
    <t>F.7.1.1.2. Uzay kirliliğinin nedenlerini ifade ederek bu kirliliğin yol açabileceği olası sonuçları tahmin eder.</t>
  </si>
  <si>
    <t>F.7.1.1.5. Teleskobun gök bilimin gelişimindeki önemine yönelik çıkarımda bulunur.</t>
  </si>
  <si>
    <t>F.7.1.1.4. Teleskobun yapısını ve ne işe yaradığını açıklar.</t>
  </si>
  <si>
    <t>Sınav Adı</t>
  </si>
  <si>
    <t>Sınav Türü:</t>
  </si>
  <si>
    <t>LGS</t>
  </si>
  <si>
    <t>Yanlış Etkisi:</t>
  </si>
  <si>
    <t>Sınıf:</t>
  </si>
  <si>
    <t>Tavan Puan:</t>
  </si>
  <si>
    <t>A KiTAPÇIĞI</t>
  </si>
  <si>
    <t>ALT DERS</t>
  </si>
  <si>
    <t>KAZANIM ID</t>
  </si>
  <si>
    <t>KAZANIM KODU</t>
  </si>
  <si>
    <t>KAZANIM KONU</t>
  </si>
  <si>
    <t>VİDEO ÇÖZÜM URL/ID</t>
  </si>
  <si>
    <t>İNKILAP TARİHİ</t>
  </si>
  <si>
    <t>ALT DERSİ</t>
  </si>
  <si>
    <t>DİN KÜLTÜRÜ</t>
  </si>
  <si>
    <t>SINIF</t>
  </si>
  <si>
    <t>DERS</t>
  </si>
  <si>
    <t>ÜNİTE</t>
  </si>
  <si>
    <t>KONU</t>
  </si>
  <si>
    <t>7. SINIF</t>
  </si>
  <si>
    <t>Melek ve Ahiret İnancı</t>
  </si>
  <si>
    <t>Görülen ve Görülemeyen Varlıklar</t>
  </si>
  <si>
    <t>Melekler ve Özellikleri</t>
  </si>
  <si>
    <t>Dünya ve Ahiret Hayatı</t>
  </si>
  <si>
    <t>Ahiret Hayatının Aşamaları</t>
  </si>
  <si>
    <t>Ahiret İnancının İnsan Davranışlarına Etkisi</t>
  </si>
  <si>
    <t>Bir Peygamber Tanıyorum: Hz. İsa (A.S.)</t>
  </si>
  <si>
    <t>D.7.1.6. Hz. İsa'nın (a.s.) hayatını ana hatlarıyla tanır.</t>
  </si>
  <si>
    <t>Bir Sure Tanıyorum: Nâs Suresi ve Anlamı</t>
  </si>
  <si>
    <t>D.7.1.7. Nâs suresini okur, anlamını söyler.</t>
  </si>
  <si>
    <t>Hac ve Kurban</t>
  </si>
  <si>
    <t>İslam’da Hac İbadeti ve Önemi</t>
  </si>
  <si>
    <t>D.7.2.1. İslam'da hac ibadetinin önemini ayet ve hadisler ışığında yorumlar.</t>
  </si>
  <si>
    <t>Haccın Yapılışı</t>
  </si>
  <si>
    <t>D.7.2.2. Haccın yapılışını özetler.</t>
  </si>
  <si>
    <t>Umre ve Önemi</t>
  </si>
  <si>
    <t>D.7.2.3. Umre ibadeti ve önemini açıklar.</t>
  </si>
  <si>
    <t>Kurban İbadeti ve Önemi</t>
  </si>
  <si>
    <t>D.7.2.4. Kurban ibadetini İslam'ın yardımlaşma ve dayanışmaya verdiği önem açısından değerlendirir.</t>
  </si>
  <si>
    <t>Bir Peygamber Tanıyorum: Hz. İsmail (A.S.)</t>
  </si>
  <si>
    <t>D.7.2.5. Hz. İsmail'in (a.s.) hayatını ana hatlarıyla tanır.</t>
  </si>
  <si>
    <t>Bir Ayet Tanıyorum: En’am Suresi, 162. Ayet ve Anlamı</t>
  </si>
  <si>
    <t>D.7.2.6. En'âm suresi 162. ayeti okur, anlamını söyler.</t>
  </si>
  <si>
    <t>Ahlaki Davranışlar</t>
  </si>
  <si>
    <t>Güzel Ahlaki Tutum ve Davranışlar</t>
  </si>
  <si>
    <t>D.7.3.1. Güzel ahlaki tutum ve davranışları örneklerle açıklar.</t>
  </si>
  <si>
    <t>D.7.3.2. Örnek tutum ve davranışların, birey ve toplumların ahlaki gelişimine olan katkısını değerlendirir.</t>
  </si>
  <si>
    <t>D.7.3.3. Tutum ve davranışlarında ölçülü olmaya özen gösterir.</t>
  </si>
  <si>
    <t>Bir Peygamber Tanıyorum: Hz. Salih (A.S.)</t>
  </si>
  <si>
    <t>D.7.3.4. Hz. Salih'in (a.s.) hayatını ana hatlarıyla tanır.</t>
  </si>
  <si>
    <t>Bir Sure Tanıyorum: Felak Suresi ve Anlamı</t>
  </si>
  <si>
    <t>D.7.3.5. Felak suresini okur, anlamını söyler.</t>
  </si>
  <si>
    <t>Allah’in Kulu ve Elçisi: Hz. Muhammed</t>
  </si>
  <si>
    <t>Allah'ın (C.C.) Kulu Hz. Muhammed (S.A.V.)</t>
  </si>
  <si>
    <t>D.7.4.1. Hz. Muhammed'in (s.a.v.) insani yönünü ayetlerden hareketle yorumlar.</t>
  </si>
  <si>
    <t>Allah'ın (C.C.) Elçisi Hz. Muhammed (S.A.V.)</t>
  </si>
  <si>
    <t>D.7.4.2. Hz. Muhammed'in (s.a.v.) peygamberlik yönüyle İlgili özelliklerini ayırt eder.</t>
  </si>
  <si>
    <t>Bir Sure Tanıyorum: Kâfirun Suresi ve Anlamı</t>
  </si>
  <si>
    <t>D.7.4.3. Kâfirun suresini okur, anlamını söyler.</t>
  </si>
  <si>
    <t>İslam Düşüncesinde Yorumlar</t>
  </si>
  <si>
    <t>Din Anlayışındaki Yorum Farklılıklarının Sebepleri</t>
  </si>
  <si>
    <t>D.7.5.1. Dinin farklı yorum biçimleri olabileceğinin farkına varır.</t>
  </si>
  <si>
    <t>İslam Düşüncesinde Yorum Biçimleri</t>
  </si>
  <si>
    <t>D.7.5.2. İslam düşüncesinde ortaya çıkan yorum biçimlerini sınıflandırır.</t>
  </si>
  <si>
    <t>İslam Düşüncesinde Tasavvufi Yorumlar</t>
  </si>
  <si>
    <t>D.7.5.3. Kültürümüzde etkin olan tasavvufi yorumları ayırt eder.</t>
  </si>
  <si>
    <t>D.7.5.4. Alevilik-Bektaşilikle İlgili temel kavram ve erkânları açıklar.</t>
  </si>
  <si>
    <t>Appearance And Personality</t>
  </si>
  <si>
    <t>Sports</t>
  </si>
  <si>
    <t>E.7.2.1. Talking about routines and daily activities</t>
  </si>
  <si>
    <t>E.7.2.2. Describing what people do regularly (Giving explanations and reasons)</t>
  </si>
  <si>
    <t>Biographies</t>
  </si>
  <si>
    <t>E.7.3.1. Talking about past events (Making simple inquiries)</t>
  </si>
  <si>
    <t>E.7.3.2. Telling the time, days and dates</t>
  </si>
  <si>
    <t>Wild Animals</t>
  </si>
  <si>
    <t>E.7.4.1. Describing the frequency of actions</t>
  </si>
  <si>
    <t>E.7.4.2. Making simple inquiries</t>
  </si>
  <si>
    <t>E.7.4.3. Making simple suggestions</t>
  </si>
  <si>
    <t>E.7.4.4. Talking about past events (Giving explanations/reasons)</t>
  </si>
  <si>
    <t>Television</t>
  </si>
  <si>
    <t>E.7.5.1. Describing what people do regularly</t>
  </si>
  <si>
    <t>E.7.5.2. Expressing preferences</t>
  </si>
  <si>
    <t>E.7.5.3. Stating personal opinions</t>
  </si>
  <si>
    <t>E.7.5.4. Talking about past events</t>
  </si>
  <si>
    <t>Celebrations</t>
  </si>
  <si>
    <t>E.7.6.1. Making simple suggestions (Accepting and refusing)</t>
  </si>
  <si>
    <t>E.7.6.2. Making arrangements and sequencing the actions</t>
  </si>
  <si>
    <t>E.7.6.3. Expressing needs and quantity</t>
  </si>
  <si>
    <t>Dreams</t>
  </si>
  <si>
    <t>E.7.7.1. Making predictions</t>
  </si>
  <si>
    <t>Public Buildings</t>
  </si>
  <si>
    <t>E.7.8.1. Giving explanations/reasons</t>
  </si>
  <si>
    <t>Environment</t>
  </si>
  <si>
    <t>E.7.9.1. Describing simple processes</t>
  </si>
  <si>
    <t>E.7.9.2. Expressing obligation</t>
  </si>
  <si>
    <t>E.7.9.3. Giving explanations/reasons</t>
  </si>
  <si>
    <t>Planets</t>
  </si>
  <si>
    <t>E.7.10.1. Making simple comparisons</t>
  </si>
  <si>
    <t>E.7.10.2. Talking about past events</t>
  </si>
  <si>
    <t>E.7.10.3. Making simple inquiries</t>
  </si>
  <si>
    <t>Güneş Sistemi ve Ötesi</t>
  </si>
  <si>
    <t>Uzay Araştırmaları</t>
  </si>
  <si>
    <t>F.7.1.1.6. Basit bir teleskop modeli hazırlayarak sunar.</t>
  </si>
  <si>
    <t>Güneş Sistemi Ötesi: Gök Cisimleri</t>
  </si>
  <si>
    <t>F.7.1.2.3. Galaksilerin yapısını açıklar.</t>
  </si>
  <si>
    <t>F.7.1.2.4. Evren kavramını açıklar.</t>
  </si>
  <si>
    <t>Hücre ve Bölünmeler</t>
  </si>
  <si>
    <t>Hücre</t>
  </si>
  <si>
    <t>F.7.2.1.1. Hayvan ve bitki hücrelerini, temel kısımları ve görevleri açısından karşılaştırır.</t>
  </si>
  <si>
    <t>F.7.2.1.2. Geçmişten günümüze, hücrenin yapısı ile İlgili görüşleri teknolojik gelişmelerle ilişkilendirerek tartışır.</t>
  </si>
  <si>
    <t>F.7.2.1.3. Hücre-doku-organ-sistem-organizma ilişkisini açıklar.</t>
  </si>
  <si>
    <t>Mitoz</t>
  </si>
  <si>
    <t>F.7.2.2.1. Mitozun canlılar için önemini açıklar.</t>
  </si>
  <si>
    <t>F.7.2.2.2. Mitozun birbirini takip eden farklı evrelerden oluştuğunu açıklar.</t>
  </si>
  <si>
    <t>Mayoz</t>
  </si>
  <si>
    <t>F.7.2.3.1. Mayozun canlılar için önemini açıklar.</t>
  </si>
  <si>
    <t>F.7.2.3.2. Üreme ana hücrelerinde mayozun nasıl gerçekleştiğini model üzerinde gösterir.</t>
  </si>
  <si>
    <t>F.7.2.3.3. Mayoz ve mitoz arasındaki farkları karşılaştırır.</t>
  </si>
  <si>
    <t>Kuvvet ve Enerji</t>
  </si>
  <si>
    <t>Kütle ve Ağırlık İlişkisi</t>
  </si>
  <si>
    <t>F.7.3.1.1. Kütleye etki eden yerçekimi kuvvetini ağırlık olarak adlandırır.</t>
  </si>
  <si>
    <t>F.7.3.1.2. Kütle ve ağırlık kavramlarını karşılaştırır.</t>
  </si>
  <si>
    <t>F.7.3.1.3. Yer çekimini kütle çekimi olarak gök cisimleri temelinde açıklar.</t>
  </si>
  <si>
    <t>Kuvvet, İş ve Enerji İlişkisi</t>
  </si>
  <si>
    <t>F.7.3.2.1. Fiziksel anlamda yapılan işin, uygulanan kuvvet ve alınan yolla ilişkili olduğunu açıklar.</t>
  </si>
  <si>
    <t>F.7.3.2.2. Enerjiyi iş kavramı ile ilişkilendirerek, kinetik ve potansiyel enerji olarak sınıflandırır.</t>
  </si>
  <si>
    <t>Enerji Dönüşümleri</t>
  </si>
  <si>
    <t>F.7.3.3.1. Kinetik ve potansiyel enerji türlerinin birbirine dönüşümünden hareketle enerjinin korunduğu sonucunu çıkarır.</t>
  </si>
  <si>
    <t>F.7.3.3.2. Sürtünme kuvvetinin kinetik enerji üzerindeki etkisini örneklerle açıklar.</t>
  </si>
  <si>
    <t>F.7.3.3.3. Hava veya su direncinin etkisini azaltmaya yönelik bir araç tasarlar.</t>
  </si>
  <si>
    <t>Saf Madde ve Karışımlar</t>
  </si>
  <si>
    <t>Maddenin Tanecikli Yapısı</t>
  </si>
  <si>
    <t>F.7.4.1.1. Atomun yapısını ve yapısındaki temel parçacıklarını söyler.</t>
  </si>
  <si>
    <t>F.7.4.1.2. Geçmişten günümüze atom kavramı ile İlgili düşüncelerin nasıl değiştiğini sorgular.</t>
  </si>
  <si>
    <t>F.7.4.1.3. Aynı veya farklı atomların bir araya gelerek molekül oluşturacağını ifade eder.</t>
  </si>
  <si>
    <t>F.7.4.1.4. Çeşitli molekül modelleri oluşturarak sunar.</t>
  </si>
  <si>
    <t>Saf Maddeler</t>
  </si>
  <si>
    <t>F.7.4.2.1. Saf maddeleri, element ve bileşik olarak sınıflandırarak örnekler verir.</t>
  </si>
  <si>
    <t>F.7.4.2.2. Periyodik sistemdeki ilk 18 elementin ve yaygın elementlerin (altın, gümüş, bakır, çinko, kurşun, civa, platin, demir ve iyot) isimlerini, sembollerini ve bazı kullanım alanlarını ifade eder.</t>
  </si>
  <si>
    <t>F.7.4.2.3. Yaygın bileşiklerin formüllerini, isimlerini ve bazı kullanım alanlarını ifade eder.</t>
  </si>
  <si>
    <t>Karışımlar</t>
  </si>
  <si>
    <t>F.7.4.3.1. Karışımları, homojen ve heterojen olarak sınıflandırarak örnekler verir.</t>
  </si>
  <si>
    <t>F.7.4.3.2. Günlük yaşamda karşılaştığı çözücü ve çözünenleri kullanarak çözelti hazırlar.</t>
  </si>
  <si>
    <t>F.7.4.3.3. Çözünme hızına etki eden faktörleri deney yaparak belirler.</t>
  </si>
  <si>
    <t>Karışımların Ayrılması</t>
  </si>
  <si>
    <t>F.7.4.4.1. Karışımların ayrılması için kullanılabilecek yöntemlerden uygun olanı seçerek uygular.</t>
  </si>
  <si>
    <t>Evsel Atıklar ve Geri Dönüşüm</t>
  </si>
  <si>
    <t>F.7.4.5.1. Evsel atıklarda geri dönüştürülebilen ve dönüştürülemeyen maddeleri ayırt eder.</t>
  </si>
  <si>
    <t>F.7.4.5.2. Evsel katı ve sıvı atıkların geri dönüşümüne ilişkin proje tasarlar.</t>
  </si>
  <si>
    <t>F.7.4.5.3. Geri dönüşümü, kaynakların etkili kullanımı açısından sorgular.</t>
  </si>
  <si>
    <t>F.7.4.5.4. Yakın çevresinde atık kontrolüne özen gösterir.</t>
  </si>
  <si>
    <t>F.7.4.5.5. Yeniden kullanılabilecek eşyalarını, ihtiyacı olanlara iletmeye yönelik proje geliştirir.</t>
  </si>
  <si>
    <t>Işığın Madde İle Etkileşimi</t>
  </si>
  <si>
    <t>Işığın Soğurulması</t>
  </si>
  <si>
    <t>F.7.5.1.1. Işığın madde ile etkileşimi sonucunda madde tarafından soğurulabileceğini keşfeder.</t>
  </si>
  <si>
    <t>F.7.5.1.2. Beyaz ışığın tüm ışık renklerinin bileşiminden oluştuğu sonucunu çıkarır.</t>
  </si>
  <si>
    <t>F.7.5.1.3. Gözlemleri sonucunda cisimlerin, siyah, beyaz ve renkli görünmesinin nedenini, ışığın yansıması ve soğurulmasıyla ilişkilendirir.</t>
  </si>
  <si>
    <t>F.7.5.1.4. Güneş enerjisinin günlük yaşam ve teknolojideki yenilikçi uygulamalarına örnekler verir.</t>
  </si>
  <si>
    <t>F.7.5.1.5. Güneş enerjisinden gelecekte nasıl yararlanılacağına ilişkin ürettiği fikirleri tartışır.</t>
  </si>
  <si>
    <t>Aynalar</t>
  </si>
  <si>
    <t>F.7.5.2.1. Ayna çeşitlerini gözlemleyerek kullanım alanlarına örnekler verir.</t>
  </si>
  <si>
    <t>F.7.5.2.2. Düz, çukur ve tümsek aynalarda oluşan görüntüleri karşılaştırır.</t>
  </si>
  <si>
    <t>Işığın Kırılması ve Mercekler</t>
  </si>
  <si>
    <t>F.7.5.3.1. Ortam değiştiren ışığın izlediği yolu gözlemleyerek kırılma olayının sebebini ortam değişikliği ile ilişkilendirir.</t>
  </si>
  <si>
    <t>F.7.5.3.2. Işığın kırılmasını, ince ve kalın kenarlı mercekler kullanarak deneyle gözlemler.</t>
  </si>
  <si>
    <t>F.7.5.3.3. İnce ve kalın kenarlı merceklerin odak noktalarını deneyerek belirler.</t>
  </si>
  <si>
    <t>F.7.5.3.4. Merceklerin günlük yaşam ve teknolojideki kullanım alanlarına örnekler verir.</t>
  </si>
  <si>
    <t>F.7.5.3.5. Ayna veya mercekleri kullanarak bir görüntüleme aracı tasarlar.</t>
  </si>
  <si>
    <t>Canlılarda Üreme, Büyüme ve Gelişme</t>
  </si>
  <si>
    <t>İnsanda Üreme, Büyüme ve Gelişme</t>
  </si>
  <si>
    <t>F.7.6.1.1. İnsanda üremeyi sağlayan yapı ve organları şema üzerinde göstererek açıklar.</t>
  </si>
  <si>
    <t>F.7.6.1.2. Sperm, yumurta, zigot, embriyo, fetüs ve bebek arasındaki ilişkiyi açıklar.</t>
  </si>
  <si>
    <t>F.7.6.1.3. Embriyonun sağlıklı gelişebilmesi için alınması gereken tedbirleri, araştırma verilerine dayalı olarak tartışır.</t>
  </si>
  <si>
    <t>Bitki ve Hayvanlarda Üreme, Büyüme ve Gelişme</t>
  </si>
  <si>
    <t>F.7.6.2.1. Bitki ve hayvanlardaki üreme çeşitlerini karşılaştırır.</t>
  </si>
  <si>
    <t>F.7.6.2.2. Bitki ve hayvanlardaki büyüme ve gelişme süreçlerini örnekler vererek açıklar.</t>
  </si>
  <si>
    <t>F.7.6.2.3. Bitki ve hayvanlarda büyüme ve gelişmeye etki eden temel faktörleri açıklar.</t>
  </si>
  <si>
    <t>F.7.6.2.4. Bir bitki veya hayvanın bakımını üstlenir ve gelişim sürecini rapor eder.</t>
  </si>
  <si>
    <t>Elektrik Devreleri</t>
  </si>
  <si>
    <t>Ampullerin Bağlanma Şekilleri</t>
  </si>
  <si>
    <t>F.7.7.1.1. Seri ve paralel bağlı ampullerden oluşan bir devre şeması çizer.</t>
  </si>
  <si>
    <t>F.7.7.1.2. Ampullerin seri ve paralel bağlandığı durumlardaki parlaklıklarını devre üzerinde gözlemleyerek çıkarımda bulunur.</t>
  </si>
  <si>
    <t>F.7.7.1.3. Elektrik akımını tanımlar.</t>
  </si>
  <si>
    <t>F.7.7.1.4. Elektrik enerjisinin devrelere akım yoluyla aktarıldığını açıklar.</t>
  </si>
  <si>
    <t>F.7.7.1.5. Bir devre elemanının uçları arasındaki gerilim ile üzerinden geçen akımı ilişkilendirir.</t>
  </si>
  <si>
    <t>F.7.7.1.6. Özgün bir aydınlatma aracı tasarlar.</t>
  </si>
  <si>
    <t>Sayılar ve İşlemler</t>
  </si>
  <si>
    <t>Tam Sayılarla İşlemler</t>
  </si>
  <si>
    <t>Rasyonel Sayılar</t>
  </si>
  <si>
    <t>M.7.1.2.1. Rasyonel sayıları tanır ve sayı doğrusunda gösterir.</t>
  </si>
  <si>
    <t>M.7.1.2.2. Rasyonel sayıları ondalık gösterimle ifade eder.</t>
  </si>
  <si>
    <t>M.7.1.2.3. Devirli olan ve olmayan ondalık gösterimleri rasyonel sayı olarak ifade eder.</t>
  </si>
  <si>
    <t>M.7.1.2.4. Rasyonel sayıları sıralar ve karşılaştırır.</t>
  </si>
  <si>
    <t>Rasyonel Sayılarla İşlemler</t>
  </si>
  <si>
    <t>M.7.1.3.1. Rasyonel sayılarla toplama ve çıkarma işlemlerini yapar.</t>
  </si>
  <si>
    <t>M.7.1.3.2. Rasyonel sayılarla çarpma ve bölme işlemlerini yapar.</t>
  </si>
  <si>
    <t>M.7.1.3.3. Rasyonel sayılarla çok adımlı işlemleri yapar.</t>
  </si>
  <si>
    <t>M.7.1.3.4. Rasyonel sayıların kare ve küplerini hesaplar.</t>
  </si>
  <si>
    <t>M.7.1.3.5. Rasyonel sayılarla işlem yapmayı gerektiren problemleri çözer.</t>
  </si>
  <si>
    <t>Oran ve Orantı</t>
  </si>
  <si>
    <t>M.7.1.4.1. Oranda çokluklardan birinin 1 olması durumunda diğerinin alacağı değeri belirler.</t>
  </si>
  <si>
    <t>M.7.1.4.2. Birbirine oranı verilen iki çokluktan biri verildiğinde diğerini bulur.</t>
  </si>
  <si>
    <t>M.7.1.4.3. Gerçek hayat durumlarını inceleyerek iki çokluğun orantılı olup olmadığına karar verir.</t>
  </si>
  <si>
    <t>M.7.1.4.4. Doğru orantılı iki çokluk arasındaki ilişkiyi ifade eder.</t>
  </si>
  <si>
    <t>M.7.1.4.5. Doğru orantılı iki çokluğa ait orantı sabitini belirler ve yorumlar.</t>
  </si>
  <si>
    <t>M.7.1.4.6. Gerçek hayat durumlarını inceleyerek iki çokluğun ters orantılı olup olmadığına karar verir.</t>
  </si>
  <si>
    <t>M.7.1.4.7. Doğru ve ters orantıyla İlgili problemleri çözer.</t>
  </si>
  <si>
    <t>Yüzdeler</t>
  </si>
  <si>
    <t>M.7.1.5.1. Bir çokluğun belirtilen bir yüzdesine karşılık gelen miktarını ve belirli bir yüzdesi verilen çokluğun tamamını bulur.</t>
  </si>
  <si>
    <t>M.7.1.5.2. Bir çokluğu diğer bir çokluğun yüzdesi olarak hesaplar.</t>
  </si>
  <si>
    <t>M.7.1.5.3. Bir çokluğu belirli bir yüzde ile artırmaya veya azaltmaya yönelik hesaplamalar yapar.</t>
  </si>
  <si>
    <t>M.7.1.5.4. Yüzde ile İlgili problemleri çözer.</t>
  </si>
  <si>
    <t>Cebir</t>
  </si>
  <si>
    <t>Cebirsel İfadeler</t>
  </si>
  <si>
    <t>M.7.2.1.1. Cebirsel ifadelerle toplama ve çıkarma işlemleri yapar.</t>
  </si>
  <si>
    <t>M.7.2.1.2. Bir doğal sayı ile bir cebirsel ifadeyi çarpar.</t>
  </si>
  <si>
    <t>M.7.2.1.3. Sayı örüntülerinin kuralını harfle ifade eder, kuralı harfle ifade edilen örüntünün istenilen terimini bulur.</t>
  </si>
  <si>
    <t>Eşitlik ve Denklem</t>
  </si>
  <si>
    <t>M.7.2.2.1. Eşitliğin korunumu ilkesini anlar.</t>
  </si>
  <si>
    <t>M.7.2.2.2. Birinci dereceden bir bilinmeyenli denklemi tanır ve verilen gerçek hayat durumlarına uygun birinci dereceden bir bilinmeyenli denklem kurar.</t>
  </si>
  <si>
    <t>M.7.2.2.3. Birinci dereceden bir bilinmeyenli denklemleri çözer.</t>
  </si>
  <si>
    <t>M.7.2.2.4. Birinci dereceden bir bilinmeyenli denklem kurmayı gerektiren problemleri çözer.</t>
  </si>
  <si>
    <t>Geometri ve Ölçme</t>
  </si>
  <si>
    <t>Doğrular ve Açılar</t>
  </si>
  <si>
    <t>M.7.3.1.1. Bir açıyı iki eş açıya ayırarak açıortayı belirler.</t>
  </si>
  <si>
    <t>M.7.3.1.2. İki paralel doğruyla bir keseninin oluşturduğu yöndeş, ters, iç ters, dış ters açıları belirleyerek özelliklerini inceler; oluşan açıların eş veya bütünler olanlarını belirler; İlgili problemleri çözer.</t>
  </si>
  <si>
    <t>Çokgenler</t>
  </si>
  <si>
    <t>M.7.3.2.1. Düzgün çokgenlerin kenar ve açı özelliklerini açıklar.</t>
  </si>
  <si>
    <t>M.7.3.2.2. Çokgenlerin köşegenlerini, iç ve dış açılarını belirler; iç açılarının ve dış açılarının ölçüleri toplamını hesaplar.</t>
  </si>
  <si>
    <t>M.7.3.2.3. Dikdörtgen, paralelkenar, yamuk ve eşkenar dörtgeni tanır; açı özelliklerini belirler.</t>
  </si>
  <si>
    <t>M.7.3.2.4. Eşkenar dörtgen ve yamuğun alan bağıntılarını oluşturur, İlgili problemleri çözer.</t>
  </si>
  <si>
    <t>M.7.3.2.5. Alan ile İlgili problemleri çözer.</t>
  </si>
  <si>
    <t>Çember ve Daire</t>
  </si>
  <si>
    <t>M.7.3.3.1. Çemberde merkez açıları, gördüğü yayları ve açı ölçüleri arasındaki ilişkileri belirler.</t>
  </si>
  <si>
    <t>M.7.3.3.2. Çemberin ve çember parçasının uzunluğunu hesaplar.</t>
  </si>
  <si>
    <t>M.7.3.3.3. Dairenin ve daire diliminin alanını hesaplar.</t>
  </si>
  <si>
    <t>Cisimlerin Farklı Yönlerden Görünümleri</t>
  </si>
  <si>
    <t>M.7.3.4.1. Üç boyutlu cisimlerin farklı yönlerden iki boyutlu görünümlerini çizer.</t>
  </si>
  <si>
    <t>M.7.3.4.2. Farklı yönlerden görünümlerine ilişkin çizimleri verilen yapıları oluşturur.</t>
  </si>
  <si>
    <t>Veri İşleme</t>
  </si>
  <si>
    <t>Veri Analizi</t>
  </si>
  <si>
    <t>M.7.4.1.1. Verilere ilişkin çizgi grafiği oluşturur ve yorumlar.</t>
  </si>
  <si>
    <t>M.7.4.1.2. Bir veri grubuna ait ortalama, ortanca ve tepe değeri bulur ve yorumlar.</t>
  </si>
  <si>
    <t>M.7.4.1.3. Bir veri grubuna ilişkin daire grafiğini oluşturur ve yorumlar.</t>
  </si>
  <si>
    <t>M.7.4.1.4. Verileri sütun, daire veya çizgi grafiği ile gösterir ve bu gösterimler arasında uygun olan dönüşümleri yapar.</t>
  </si>
  <si>
    <t>Birey ve Toplum</t>
  </si>
  <si>
    <t>İnsandan İnsana Giden Yol</t>
  </si>
  <si>
    <t>İletişimin Gücü</t>
  </si>
  <si>
    <t>Hızlı İletişim Güçlü Toplum</t>
  </si>
  <si>
    <t>İletişim Özgürlüğü</t>
  </si>
  <si>
    <t>Kültür ve Miras</t>
  </si>
  <si>
    <t>Beylikten Cihan Devletine</t>
  </si>
  <si>
    <t>İnsanı Yaşat Ki Devlet Yaşasın</t>
  </si>
  <si>
    <t>SB.7.2.2. Osmanlı Devleti'nin fetih siyasetini örnekler üzerinden analiz eder.</t>
  </si>
  <si>
    <t>Avrupa'da Uyanış</t>
  </si>
  <si>
    <t>SB.7.2.3. Avrupa'daki gelişmelerle bağlantılı olarak Osmanlı Devleti'ni değişime zorlayan süreçleri kavrar.</t>
  </si>
  <si>
    <t>Değişen Dünyada Değişen Osmanlı</t>
  </si>
  <si>
    <t>SB.7.2.4. Osmanlı Devleti'nde ıslahat hareketleri sonucu ortaya çıkan kurumlardan hareketle toplumsal ve ekonomik değişim hakkında çıkarımlarda bulunur.</t>
  </si>
  <si>
    <t>Osmanlı’dan Kalan Mirasımız</t>
  </si>
  <si>
    <t>SB.7.2.5. Osmanlı kültür, sanat ve estetik anlayışına örnekler verir.</t>
  </si>
  <si>
    <t>İnsanlar, Yerler ve Çevreler</t>
  </si>
  <si>
    <t>Nereye Yerleşelim</t>
  </si>
  <si>
    <t>SB.7.3.1. Örnek incelemeler yoluyla geçmişten günümüze, yerleşmeyi etkileyen faktörler hakkında çıkarımlarda bulunur.</t>
  </si>
  <si>
    <t>Tablo ve Grafiklerle Ülkemiz</t>
  </si>
  <si>
    <t>SB.7.3.2. Türkiye'de nüfusun dağılışını etkileyen faktörlerden hareketle Türkiye'nin demografik özelliklerini yorumlar.</t>
  </si>
  <si>
    <t>Doğduğun Yer Mi, Doyduğun Yer Mi?</t>
  </si>
  <si>
    <t>SB.7.3.3. Örnek incelemeler yoluyla göçün neden ve sonuçlarını tartışır.</t>
  </si>
  <si>
    <t>Yerleşme ve Seyahat Özgürlüğüm Var</t>
  </si>
  <si>
    <t>SB.7.3.4. Temel haklardan yerleşme ve seyahat özgürlüğünün kısıtlanması halinde ortaya çıkacak olumsuz durumlara örnekler gösterir.</t>
  </si>
  <si>
    <t>Bilim, Teknoloji ve Toplum</t>
  </si>
  <si>
    <t>Kil Tabletlerden Akıllı Tabletlere</t>
  </si>
  <si>
    <t>SB.7.4.1. Bilginin korunması, yaygınlaştırılması ve aktarılmasında değişim ve sürekliliği inceler.</t>
  </si>
  <si>
    <t>Bilimin Öncüleri</t>
  </si>
  <si>
    <t>SB.7.4.2. Türk-İslam medeniyetinde yetişen bilginlerin bilimsel gelişme sürecine katkılarını tartışır.</t>
  </si>
  <si>
    <t>Her Yenilik Geleceğimize Bir Katkıdır</t>
  </si>
  <si>
    <t>SB.7.4.3. XV-XX. yüzyıllar arasında Avrupa'da yaşanan gelişmelerin günümüz bilimsel birikiminin oluşmasına etkisini analiz eder.</t>
  </si>
  <si>
    <t>Özgür Düşüncenin Bilime Katkısı</t>
  </si>
  <si>
    <t>SB.7.4.4. Özgür düşüncenin bilimsel gelişmelere katkısını değerlendirir.</t>
  </si>
  <si>
    <t>Üretim, Dağıtım ve Tüketim</t>
  </si>
  <si>
    <t>Topraktan Üretir, Toprağı Yönetiriz</t>
  </si>
  <si>
    <t>SB.7.5.1. Üretimde ve yönetimde toprağın önemini geçmişten ve günümüzden örneklerle açıklar.</t>
  </si>
  <si>
    <t>Üretim Teknolojisi Hayatımızı Etkiliyor</t>
  </si>
  <si>
    <t>SB.7.5.2. Üretim teknolojisindeki gelişmelerin sosyal ve ekonomik hayata etkilerini değerlendirir.</t>
  </si>
  <si>
    <t>SB.7.5.3. Kurumların ve sivil toplum kuruluşlarının çalışmalarına ve sosyal yaşamdaki rollerine örnekler verir.</t>
  </si>
  <si>
    <t>İşinin Ehli İnsan Yetiştirmek</t>
  </si>
  <si>
    <t>SB.7.5.4. Tarih boyunca Türklerde meslek edindirme ve meslek etiği kazandırmada rol oynayan kurumları tanır.</t>
  </si>
  <si>
    <t>Geleceğin Senin Ellerinde</t>
  </si>
  <si>
    <t>SB.7.5.5. Dünyadaki gelişmelere bağlı olarak ortaya çıkan yeni meslekleri dikkate alarak mesleki tercihlerine yönelik planlama yapar.</t>
  </si>
  <si>
    <t>Dijital Teknoloji Çağındayız</t>
  </si>
  <si>
    <t>SB.7.5.6. Dijital teknolojilerin üretim, dağıtım ve tüketim ağında meydana getirdiği değişimleri analiz eder.</t>
  </si>
  <si>
    <t>Etkin Vatandaşlık</t>
  </si>
  <si>
    <t>Demokrasi Serüveni</t>
  </si>
  <si>
    <t>SB.7.6.1. Demokrasinin ortaya çıkışını, gelişim evrelerini ve günümüzde ifade ettiği anlamları açıklar.</t>
  </si>
  <si>
    <t>Atatürk'ten Milletimize Armağan</t>
  </si>
  <si>
    <t>SB.7.6.2. Atatürk'ün Türk demokrasisinin gelişimine katkılarını açıklar.</t>
  </si>
  <si>
    <t>SB.7.6.3. Türkiye Cumhuriyeti Devleti'nin temel niteliklerini toplumsal hayattaki uygulamalarla ilişkilendirir.</t>
  </si>
  <si>
    <t>Hakimiyet Milletindir!</t>
  </si>
  <si>
    <t>SB.7.6.4. Demokrasinin uygulanma süreçlerinde karşılaşılan sorunları analiz eder.</t>
  </si>
  <si>
    <t>Küresel Bağlantılar</t>
  </si>
  <si>
    <t>Türkiye'de ve Dünyada Barış</t>
  </si>
  <si>
    <t>SB.7.7.1. Türkiye'nin üyesi olduğu uluslararası kuruluşlara örnekler verir.</t>
  </si>
  <si>
    <t>Ekonomiye Yön Veren Kuruluşlar</t>
  </si>
  <si>
    <t>SB.7.7.2. Türkiye'nin ilişkide olduğu ekonomik bölge ve kuruluşları tanır.</t>
  </si>
  <si>
    <t>İnsanları Nasıl Tanıyoruz?</t>
  </si>
  <si>
    <t>SB.7.7.3. Çeşitli kültürlere yönelik kalıp yargıları sorgular.</t>
  </si>
  <si>
    <t>Küresel Sorunlara Çözüm Üretiyorum</t>
  </si>
  <si>
    <t>SB.7.7.4. Arkadaşlarıyla birlikte küresel sorunların çözümüne yönelik fikir önerileri geliştirir.</t>
  </si>
  <si>
    <t>Okuma</t>
  </si>
  <si>
    <t>Sözcükte Anlam</t>
  </si>
  <si>
    <t>T.7.3.5.2. Gerçek anlamlı sözcükleri tespit eder.</t>
  </si>
  <si>
    <t>T.7.3.5.3. Mecaz anlamlı sözcükleri tespit eder.</t>
  </si>
  <si>
    <t>T.7.3.5.4. Terim anlamlı sözcükleri tespit eder.</t>
  </si>
  <si>
    <t>T.7.3.5.5. Bağlamdan yararlanarak altı çizili kelime gruplarının anlamını belirler.</t>
  </si>
  <si>
    <t>T.7.3.5.6. Bağlamdan yararlanarak ikilemelerin cümleye kattığı anlamını belirler.</t>
  </si>
  <si>
    <t>T.7.3.5.7. Kelimelerin eş anlamlılarını bulur.</t>
  </si>
  <si>
    <t>T.7.3.5.8. Yakın anlamlı kelimeleri tespit eder.</t>
  </si>
  <si>
    <t>T.7.3.5.10. Kelimelerin zıt anlamlılarını bulur.</t>
  </si>
  <si>
    <t>T.7.3.5.12. Genel ve özel anlamlı sözcükleri tespit eder.</t>
  </si>
  <si>
    <t>T.7.3.5.13. Kavramlar ve çağrışımları arasında ilişki kurar.</t>
  </si>
  <si>
    <t>T.7.3.5.14. Nicel ve nitel anlamlı sözcükleri tespit eder.</t>
  </si>
  <si>
    <t>T.7.3.5.17. Somut ve soyut anlamlı sözcükleri ayırt eder.</t>
  </si>
  <si>
    <t>T.7.3.5.19. Yansıma sözcükleri tespit eder.</t>
  </si>
  <si>
    <t>Atasözü, Deyim ve Özdeyiş</t>
  </si>
  <si>
    <t>T.7.3.6.1. Deyim, atasözü ve özdeyişlerin metne katkısını belirler.</t>
  </si>
  <si>
    <t>Atasözleri</t>
  </si>
  <si>
    <t>T.7.3.6.2. Atasözlerinin metne katkısını belirler.</t>
  </si>
  <si>
    <t>Deyimler</t>
  </si>
  <si>
    <t>T.7.3.6.3. Deyimlerin metne katkısını belirler.</t>
  </si>
  <si>
    <t>Özdeyişler</t>
  </si>
  <si>
    <t>T.7.3.6.4. Özdeyişlerin metne katkısını belirler.</t>
  </si>
  <si>
    <t>Geçiş ve Bağlantı İfadeleri</t>
  </si>
  <si>
    <t>T.7.3.7.1. Metni oluşturan unsurlar arasındaki geçiş ve bağlantı ifadelerinin anlamına olan katkısını değerlendirir.</t>
  </si>
  <si>
    <t>T.7.3.7.2. Destekleyici ve açıklayıcı ifadelerin metnin anlamına olan katkısını değerlendirir.</t>
  </si>
  <si>
    <t>T.7.3.7.3. Farklı düşünmeye yönlendiren ifadelerin metnin anlamına olan katkısını değerlendirir.</t>
  </si>
  <si>
    <t>T.7.3.7.4. Genel ve özel durum bildiren ifadelerin metnin anlamına olan katkısını değerlendirir.</t>
  </si>
  <si>
    <t>T.7.3.7.5. Önem belirten ifadelerin metnin anlamına olan katkısını değerlendirir.</t>
  </si>
  <si>
    <t>T.7.3.7.6. Özetleyen ve sonuç bildiren ifadelerin metnin anlamına olan katkısını değerlendirir.</t>
  </si>
  <si>
    <t>Söz Sanatları</t>
  </si>
  <si>
    <t>T.7.3.8.1. Metindeki söz sanatlarını tespit eder.</t>
  </si>
  <si>
    <t>T.7.3.8.2. Abartma (mübalağa) söz sanatını tespit eder.</t>
  </si>
  <si>
    <t>T.7.3.8.3. Benzetme (teşbih) söz sanatını tespit eder.</t>
  </si>
  <si>
    <t>T.7.3.8.4. Karşıtlık (tezat) söz sanatını tespit eder.</t>
  </si>
  <si>
    <t>T.7.3.8.5. Konuşturma (intak) söz sanatını tespit eder.</t>
  </si>
  <si>
    <t>T.7.3.8.6. Kişileştirme (teşhis) söz sanatını tespit eder.</t>
  </si>
  <si>
    <t>Fiiller</t>
  </si>
  <si>
    <t>T.7.3.9.1. Çekim eklerinin işlevlerini ayırt eder.</t>
  </si>
  <si>
    <t>Haber (Bildirme) Kipleri</t>
  </si>
  <si>
    <t>T.7.3.9.2. Haber kiplerinin işlevini ayırt eder.</t>
  </si>
  <si>
    <t>Dilek (Tasarlama) Kipleri</t>
  </si>
  <si>
    <t>T.7.3.9.3. Dilek kiplerinin işlevlerini ayırt eder.</t>
  </si>
  <si>
    <t>Fiillerde Anlam Kayması</t>
  </si>
  <si>
    <t>T.7.3.9.4. Fiillerde anlam kaymasını ayırt eder.</t>
  </si>
  <si>
    <t>Kişi (Şahıs) Ekleri</t>
  </si>
  <si>
    <t>T.7.3.9.5. Fiillerde kişi eklerinin işlevlerini ayırt eder.</t>
  </si>
  <si>
    <t>Fiillerde Yapı</t>
  </si>
  <si>
    <t>T.7.3.10. Basit, türemiş ve birleşik fiilleri ayırt eder.</t>
  </si>
  <si>
    <t>Zarflar</t>
  </si>
  <si>
    <t>T.7.3.11.1. Zarfların metnin anlamına olan katkısını açıklar.</t>
  </si>
  <si>
    <t>T.7.3.11.2. Durum zarflarının metnin anlamına olan katkısını açıklar.</t>
  </si>
  <si>
    <t>T.7.3.11.3. Miktar zarflarının metnin anlamına olan katkısını açıklar.</t>
  </si>
  <si>
    <t>T.7.3.11.4. Soru zarflarının metnin anlamına olan katkısını açıklar.</t>
  </si>
  <si>
    <t>T.7.3.11.5. Yer-yön zarflarının metnin anlamına olan katkısını açıklar.</t>
  </si>
  <si>
    <t>T.7.3.11.6. Zaman zarfları metnin anlamına olan katkısını açıklar.</t>
  </si>
  <si>
    <t>Fiillerin Anlam Özellikleri</t>
  </si>
  <si>
    <t>T.7.3.12.2. İş fiillerinin anlam özelliklerini fark eder.</t>
  </si>
  <si>
    <t>T.7.3.12.3. Oluş fiillerin anlam özelliklerini fark eder.</t>
  </si>
  <si>
    <t>T.7.3.12.4. Durum fiillerin anlam özelliklerini fark eder.</t>
  </si>
  <si>
    <t>Anlatım Bozukluğu</t>
  </si>
  <si>
    <t>T.7.3.13. Anlatım bozukluklarını tespit eder.</t>
  </si>
  <si>
    <t>Paragrafta Anlam</t>
  </si>
  <si>
    <t>T.7.3.14.1. Görsel ve başlıktan hareketle okuyacağı metnin konusunu tahmin eder.</t>
  </si>
  <si>
    <t>T.7.3.15. Okuduklarını özetler.</t>
  </si>
  <si>
    <t>T.7.3.16.1. Metnin konusunu belirler.</t>
  </si>
  <si>
    <t>T.7.3.16.2. Şiirde ele alınan temayı belirler.</t>
  </si>
  <si>
    <t>T.7.3.16.3. Metinde düşüncenin akışını bozan cümleyi tespit eder.</t>
  </si>
  <si>
    <t>T.7.3.16.4. Metni konusuna göre ikiye böler.</t>
  </si>
  <si>
    <t>T.7.3.16.5. Metinde düşüncenin akışına göre cümlelerin yerini değiştirir.</t>
  </si>
  <si>
    <t>T.7.3.17.2. Metnin ana fikrini belirler.</t>
  </si>
  <si>
    <t>T.7.3.17.3. Metnin ana duygusunu belirler.</t>
  </si>
  <si>
    <t>T.7.3.17.4. Metnin anahtar kelimelerini belirler.</t>
  </si>
  <si>
    <t>T.7.3.19. Metinle İlgili soruları cevaplar.</t>
  </si>
  <si>
    <t>T.7.3.20. Metinle İlgili sorular sorar.</t>
  </si>
  <si>
    <t>T.7.3.21.1. Okuduğu metinlerdeki hikâye unsurlarını belirler.</t>
  </si>
  <si>
    <t>T.7.3.21.2. Metnin anlatıcı kişisini belirler.</t>
  </si>
  <si>
    <t>Cümlede Anlam</t>
  </si>
  <si>
    <t>T.7.3.22.1. Metnin içeriğini yorumlar.</t>
  </si>
  <si>
    <t>T.7.3.22.2. Yazarın olaylara bakış açısını tespit eder.</t>
  </si>
  <si>
    <t>T.7.3.22.3. Metindeki öznel ve nesnel yaklaşımları tespit eder.</t>
  </si>
  <si>
    <t>T.7.3.22.4. Metindeki örnek ve ayrıntılara atıf yapar.</t>
  </si>
  <si>
    <t>T.7.3.23. Metnin içeriğine uygun başlık/başlıklar belirler.</t>
  </si>
  <si>
    <t>Sözel Mantık ve Muhakeme</t>
  </si>
  <si>
    <t>T.7.3.24.1. Metinde ele alınan sorunlara farklı çözümler üretir.</t>
  </si>
  <si>
    <t>T.7.3.25. Metinler arasında karşılaştırma yapar.</t>
  </si>
  <si>
    <t>T.7.3.26.2. Metindeki gerçek ve kurgusal unsurları ayırt eder.</t>
  </si>
  <si>
    <t>T.7.3.27. Metinde önemli noktaların vurgulanış biçimlerini kavrar.</t>
  </si>
  <si>
    <t>T.7.3.28.1. Okudukları ile İlgili çıkarımlarda bulunur.</t>
  </si>
  <si>
    <t>T.7.3.28.3. Eş anlamlı cümleleri tespit eder.</t>
  </si>
  <si>
    <t>T.7.3.28.4. Yakın anlamlı cümleleri belirler.</t>
  </si>
  <si>
    <t>T.7.3.28.5. Anlamca çelişen cümleleri belirler.</t>
  </si>
  <si>
    <t>T.7.3.28.6. Metindeki neden-sonuç cümlesini belirler.</t>
  </si>
  <si>
    <t>T.7.3.28.7. Metindeki amaç-sonuç cümlesini belirler.</t>
  </si>
  <si>
    <t>T.7.3.28.8. Metindeki koşul-sonuç cümlesini belirler.</t>
  </si>
  <si>
    <t>T.7.3.28.9. Metndeki abartma cümlelerini belirler.</t>
  </si>
  <si>
    <t>T.7.3.28.10. Metindeki benzetme cümlelerini belirler.</t>
  </si>
  <si>
    <t>T.7.3.28.11. Cümlede ifade edilen kavram ve duyguları belirler.</t>
  </si>
  <si>
    <t>T.7.3.28.12. Doğrudan ve dolaylı anlatımı tespit eder.</t>
  </si>
  <si>
    <t>T.7.3.28.13. Cümlelerdeki düz ve mecazlı anlatımı ayırt eder.</t>
  </si>
  <si>
    <t>T.7.3.28.14. Karşılaştırma cümlelerini belirler.</t>
  </si>
  <si>
    <t>T.7.3.28.15. Örneklendirme cümlelerini belirler.</t>
  </si>
  <si>
    <t>T.7.3.28.17. Metindeki öznel ve nesnel anlatımı tespit eder.</t>
  </si>
  <si>
    <t>Metin Türleri</t>
  </si>
  <si>
    <t>T.7.3.29.2. Söyleşi yazı türünü ayırt eder.</t>
  </si>
  <si>
    <t>T.7.3.29.3. Biyografi yazı türünü ayırt eder.</t>
  </si>
  <si>
    <t>T.7.3.29.4. Otobiyografi yazı türünü ayırt eder.</t>
  </si>
  <si>
    <t>T.7.3.29.25. Günlük yazı türünü ayırt eder.</t>
  </si>
  <si>
    <t>Görseli Yorumlama</t>
  </si>
  <si>
    <t>T.7.3.30.1. Görsellerle İlgili soruları cevaplar.</t>
  </si>
  <si>
    <t>T.7.3.30.2. Duvar yazısı ve karikatürleri yorumlar.</t>
  </si>
  <si>
    <t>Metne Yönelik Sorular ve Metin İnceleme</t>
  </si>
  <si>
    <t>T.7.3.32. Bilgi kaynaklarını etkili bir şekilde kullanır.</t>
  </si>
  <si>
    <t>T.7.3.33. Bilgi kaynaklarının güvenilirliğini sorgular.</t>
  </si>
  <si>
    <t>Tablo ve Grafik Okuma</t>
  </si>
  <si>
    <t>T.7.3.35. Metinlerin yazılı hâli ile medya sunumunu karşılaştırır.</t>
  </si>
  <si>
    <t>T.7.3.36. Metindeki anlatım biçimlerini belirler.</t>
  </si>
  <si>
    <t>Yazma</t>
  </si>
  <si>
    <t>T.7.4.2.1. Bilgilendirici metinler yazar.</t>
  </si>
  <si>
    <t>T.7.4.2.2. Metnin giriş, gelişme ve sonuç bölümlerini ayırt eder.</t>
  </si>
  <si>
    <t>T.7.4.3.1. Hikâye edici metinler yazar.</t>
  </si>
  <si>
    <t>T.7.4.3.2. Metnin serim, düğüm ve çözüm bölümlerini ayırt eder.</t>
  </si>
  <si>
    <t>T.7.4.4.1. Yazma stratejilerini uygular.</t>
  </si>
  <si>
    <t>T.7.4.4.2. Cümlede boş bırakılan bölümü anlam akışına göre tamamlar.</t>
  </si>
  <si>
    <t>T.7.4.5. Anlatımı desteklemek için grafik ve tablo kullanır.</t>
  </si>
  <si>
    <t>T.7.4.6. Bir işi işlem basamaklarına göre yazar.</t>
  </si>
  <si>
    <t>Atasözü</t>
  </si>
  <si>
    <t>T.7.4.7. Yazılarını zenginleştirmek için atasözleri, deyimler ve özdeyişler kullanır.</t>
  </si>
  <si>
    <t>T.7.4.8. Yazılarında anlatım biçimlerini kullanır.</t>
  </si>
  <si>
    <t>Dilimize Yerleşmemiş Yabancı Kelimeler</t>
  </si>
  <si>
    <t>T.7.4.9. Yazdıklarında yabancı dillerden alınmış, dilimize henüz yerleşmemiş kelimelerin Türkçelerini kullanır.</t>
  </si>
  <si>
    <t>Yazım Kuralları</t>
  </si>
  <si>
    <t>T.7.4.10. Formları yönergelerine uygun doldurur.</t>
  </si>
  <si>
    <t>T.7.4.12. Yazdıklarının içeriğine uygun başlık belirler.</t>
  </si>
  <si>
    <t>Ek Fiilin</t>
  </si>
  <si>
    <t>T.7.4.13.1. Ek fiili işlevlerine uygun olarak kullanır.</t>
  </si>
  <si>
    <t>T.7.4.13.2. Basit ve birleşik çekimli fiilleri ayırt eder.</t>
  </si>
  <si>
    <t>T.7.4.13.3. Ek fiilin birleşik çekimli fiillere kattığı anlamları belirler.</t>
  </si>
  <si>
    <t>T.7.4.13.4. Ek fiilin isimleri yüklem yapma göreviyle kullanır.</t>
  </si>
  <si>
    <t>T.7.4.14. Araştırmalarının sonuçlarını yazılı olarak sunar.</t>
  </si>
  <si>
    <t>T.7.4.15. Yazılarında uygun geçiş ve bağlantı ifadelerini kullanır.</t>
  </si>
  <si>
    <t>T.7.4.16.1. Yazdıklarını düzenler.</t>
  </si>
  <si>
    <t>T.7.4.16.2. Bağlaç olan "de"nin ve ek olan "-de"nin yazımını kavrar.</t>
  </si>
  <si>
    <t>T.7.4.16.3. Bağlaç olan "ki"nin ve ek olan "-ki"nin yazımını kavrar.</t>
  </si>
  <si>
    <t>T.7.4.16.4. Soru eki olan "mi"nin yazımını kavrar.</t>
  </si>
  <si>
    <t>T.7.4.16.5. “İle”nin yazımını kavrar.</t>
  </si>
  <si>
    <t>T.7.4.16.6. Ayrı ve bitişik yazılan birleşik sözcüklerin yazımını kavrar.</t>
  </si>
  <si>
    <t>T.7.4.16.7. Büyük harfleri uygun yerlerde kullanır.</t>
  </si>
  <si>
    <t>T.7.4.16.8. Pekiştirmelerin yazımını kavrar.</t>
  </si>
  <si>
    <t>T.7.4.16.10. İkilemelerin yazımını kavrar.</t>
  </si>
  <si>
    <t>T.7.4.16.12. Sayıları doğru yazar.</t>
  </si>
  <si>
    <t>T.7.4.16.13. Tarihlerin yazımını kavrar.</t>
  </si>
  <si>
    <t>T.7.4.16.14. Kısaltmaların yazımını kavrar.</t>
  </si>
  <si>
    <t>T.7.4.16.16. Yazımı karıştırılan sözcükleri doğru yazar.</t>
  </si>
  <si>
    <t>T.7.4.16.17. Yön adlarının yazımını kavrar.</t>
  </si>
  <si>
    <t>Noktalama İşaretleri</t>
  </si>
  <si>
    <t>T.7.4.16.19. Noktalama işaretlerini uygun yerlerde kullanır.</t>
  </si>
  <si>
    <t>T.7.4.16.20. Nokta, virgül ve noktalı virgülün kullanım alanlarını kavrar.</t>
  </si>
  <si>
    <t>T.7.4.16.21. İki nokta, üç nokta ve soru işaretinin kullanım alanlarını kavrar.</t>
  </si>
  <si>
    <t>T.7.4.16.22. Uzun çizgi, eğik çizgi ve kesme işaretinin kullanım alanlarını kavrar.</t>
  </si>
  <si>
    <t>T.7.4.16.23. Ünlem, tırnak, ayraç, köşeli ayraç ve kısa çizginin kullanım alanlarını kavrar.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</si>
</sst>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sz val="18.0"/>
      <color rgb="FF000000"/>
      <name val="Calibri"/>
    </font>
    <font/>
    <font>
      <sz val="18.0"/>
      <color rgb="FF000000"/>
      <name val="Calibri"/>
    </font>
    <font>
      <b/>
      <sz val="14.0"/>
      <color rgb="FF000000"/>
      <name val="Calibri"/>
    </font>
    <font>
      <sz val="12.0"/>
      <color rgb="FF000000"/>
      <name val="Calibri"/>
    </font>
    <font>
      <sz val="11.0"/>
      <color rgb="FF141414"/>
      <name val="&quot;Segoe UI&quot;"/>
    </font>
    <font>
      <color theme="1"/>
      <name val="Calibri"/>
      <scheme val="minor"/>
    </font>
    <font>
      <b/>
      <color rgb="FF000000"/>
      <name val="Helvetica"/>
    </font>
    <font>
      <sz val="12.0"/>
      <color theme="1"/>
      <name val="Calibri"/>
    </font>
    <font>
      <b/>
      <sz val="12.0"/>
      <color rgb="FFFFFFFF"/>
      <name val="Calibri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87CEFA"/>
        <bgColor rgb="FF87CEFA"/>
      </patternFill>
    </fill>
    <fill>
      <patternFill patternType="solid">
        <fgColor rgb="FFFFC8A6"/>
        <bgColor rgb="FFFFC8A6"/>
      </patternFill>
    </fill>
    <fill>
      <patternFill patternType="solid">
        <fgColor rgb="FFD7E2F5"/>
        <bgColor rgb="FFD7E2F5"/>
      </patternFill>
    </fill>
    <fill>
      <patternFill patternType="solid">
        <fgColor rgb="FFFFFFCC"/>
        <bgColor rgb="FFFFFFCC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FEFEFE"/>
        <bgColor rgb="FFFEFEFE"/>
      </patternFill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D9E2F3"/>
        <bgColor rgb="FFD9E2F3"/>
      </patternFill>
    </fill>
    <fill>
      <patternFill patternType="solid">
        <fgColor rgb="FFFAF9F9"/>
        <bgColor rgb="FFFAF9F9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5" fontId="3" numFmtId="0" xfId="0" applyAlignment="1" applyBorder="1" applyFill="1" applyFont="1">
      <alignment horizontal="center" readingOrder="0" shrinkToFit="0" wrapText="0"/>
    </xf>
    <xf borderId="2" fillId="0" fontId="4" numFmtId="0" xfId="0" applyBorder="1" applyFont="1"/>
    <xf borderId="3" fillId="0" fontId="4" numFmtId="0" xfId="0" applyBorder="1" applyFont="1"/>
    <xf borderId="3" fillId="5" fontId="3" numFmtId="0" xfId="0" applyAlignment="1" applyBorder="1" applyFont="1">
      <alignment horizontal="right" readingOrder="0" shrinkToFit="0" wrapText="0"/>
    </xf>
    <xf borderId="1" fillId="6" fontId="5" numFmtId="0" xfId="0" applyAlignment="1" applyBorder="1" applyFill="1" applyFont="1">
      <alignment horizontal="left" readingOrder="0" shrinkToFit="0" wrapText="0"/>
    </xf>
    <xf borderId="0" fillId="0" fontId="2" numFmtId="0" xfId="0" applyAlignment="1" applyFont="1">
      <alignment shrinkToFit="0" vertical="bottom" wrapText="0"/>
    </xf>
    <xf borderId="1" fillId="6" fontId="5" numFmtId="0" xfId="0" applyAlignment="1" applyBorder="1" applyFont="1">
      <alignment horizontal="center" readingOrder="0" shrinkToFit="0" wrapText="0"/>
    </xf>
    <xf borderId="4" fillId="5" fontId="3" numFmtId="0" xfId="0" applyAlignment="1" applyBorder="1" applyFont="1">
      <alignment horizontal="right" readingOrder="0" shrinkToFit="0" wrapText="0"/>
    </xf>
    <xf borderId="5" fillId="6" fontId="5" numFmtId="0" xfId="0" applyAlignment="1" applyBorder="1" applyFont="1">
      <alignment horizontal="left" readingOrder="0" shrinkToFit="0" wrapText="0"/>
    </xf>
    <xf borderId="6" fillId="7" fontId="2" numFmtId="0" xfId="0" applyAlignment="1" applyBorder="1" applyFill="1" applyFont="1">
      <alignment horizontal="center" readingOrder="0" shrinkToFit="0" wrapText="0"/>
    </xf>
    <xf borderId="4" fillId="5" fontId="6" numFmtId="0" xfId="0" applyAlignment="1" applyBorder="1" applyFont="1">
      <alignment horizontal="center" readingOrder="0" shrinkToFit="0" wrapText="0"/>
    </xf>
    <xf borderId="3" fillId="5" fontId="6" numFmtId="0" xfId="0" applyAlignment="1" applyBorder="1" applyFont="1">
      <alignment horizontal="center" readingOrder="0" shrinkToFit="0" wrapText="0"/>
    </xf>
    <xf borderId="6" fillId="0" fontId="7" numFmtId="0" xfId="0" applyAlignment="1" applyBorder="1" applyFont="1">
      <alignment horizontal="center" readingOrder="0" shrinkToFit="0" vertical="bottom" wrapText="0"/>
    </xf>
    <xf borderId="4" fillId="7" fontId="2" numFmtId="0" xfId="0" applyAlignment="1" applyBorder="1" applyFont="1">
      <alignment horizontal="center" readingOrder="0" shrinkToFit="0" vertical="bottom" wrapText="0"/>
    </xf>
    <xf borderId="4" fillId="7" fontId="2" numFmtId="0" xfId="0" applyAlignment="1" applyBorder="1" applyFont="1">
      <alignment horizontal="center" readingOrder="0" shrinkToFit="0" vertical="bottom" wrapText="0"/>
    </xf>
    <xf borderId="4" fillId="7" fontId="2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0" fillId="8" fontId="8" numFmtId="0" xfId="0" applyFill="1" applyFont="1"/>
    <xf borderId="0" fillId="0" fontId="9" numFmtId="0" xfId="0" applyFont="1"/>
    <xf borderId="4" fillId="0" fontId="10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1" numFmtId="0" xfId="0" applyAlignment="1" applyFont="1">
      <alignment vertical="bottom"/>
    </xf>
    <xf borderId="4" fillId="0" fontId="7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4" fillId="9" fontId="7" numFmtId="0" xfId="0" applyAlignment="1" applyBorder="1" applyFill="1" applyFont="1">
      <alignment readingOrder="0" shrinkToFit="0" vertical="bottom" wrapText="0"/>
    </xf>
    <xf borderId="4" fillId="0" fontId="2" numFmtId="0" xfId="0" applyAlignment="1" applyBorder="1" applyFont="1">
      <alignment readingOrder="0" vertical="bottom"/>
    </xf>
    <xf borderId="7" fillId="10" fontId="12" numFmtId="0" xfId="0" applyAlignment="1" applyBorder="1" applyFill="1" applyFont="1">
      <alignment vertical="bottom"/>
    </xf>
    <xf borderId="0" fillId="0" fontId="13" numFmtId="0" xfId="0" applyAlignment="1" applyFont="1">
      <alignment vertical="bottom"/>
    </xf>
    <xf borderId="0" fillId="11" fontId="11" numFmtId="0" xfId="0" applyAlignment="1" applyFill="1" applyFont="1">
      <alignment vertical="bottom"/>
    </xf>
    <xf borderId="0" fillId="11" fontId="11" numFmtId="0" xfId="0" applyAlignment="1" applyFont="1">
      <alignment readingOrder="0" vertical="bottom"/>
    </xf>
    <xf borderId="0" fillId="12" fontId="13" numFmtId="0" xfId="0" applyAlignment="1" applyFill="1" applyFont="1">
      <alignment vertical="bottom"/>
    </xf>
    <xf borderId="0" fillId="12" fontId="13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A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57" displayName="Table_1" name="Table_1" id="1">
  <tableColumns count="5">
    <tableColumn name="SINIF" id="1"/>
    <tableColumn name="DERS" id="2"/>
    <tableColumn name="ÜNİTE" id="3"/>
    <tableColumn name="KONU" id="4"/>
    <tableColumn name="KAZANIM" id="5"/>
  </tableColumns>
  <tableStyleInfo name="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7.44"/>
    <col customWidth="1" min="2" max="2" width="46.1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4" t="s">
        <v>4</v>
      </c>
      <c r="C2" s="5" t="s">
        <v>5</v>
      </c>
      <c r="D2" s="5">
        <v>11.0</v>
      </c>
    </row>
    <row r="3">
      <c r="A3" s="3">
        <v>2.0</v>
      </c>
      <c r="B3" s="4" t="s">
        <v>6</v>
      </c>
      <c r="C3" s="5" t="s">
        <v>2</v>
      </c>
      <c r="D3" s="5">
        <v>12.0</v>
      </c>
    </row>
    <row r="4">
      <c r="A4" s="3">
        <v>3.0</v>
      </c>
      <c r="B4" s="4" t="s">
        <v>7</v>
      </c>
      <c r="C4" s="5" t="s">
        <v>3</v>
      </c>
      <c r="D4" s="5">
        <v>13.0</v>
      </c>
    </row>
    <row r="5">
      <c r="A5" s="3">
        <v>4.0</v>
      </c>
      <c r="B5" s="4" t="s">
        <v>6</v>
      </c>
      <c r="C5" s="5" t="s">
        <v>5</v>
      </c>
      <c r="D5" s="5">
        <v>14.0</v>
      </c>
    </row>
    <row r="6">
      <c r="A6" s="3">
        <v>5.0</v>
      </c>
      <c r="B6" s="4" t="s">
        <v>8</v>
      </c>
      <c r="C6" s="5" t="s">
        <v>9</v>
      </c>
      <c r="D6" s="5">
        <v>15.0</v>
      </c>
    </row>
    <row r="7">
      <c r="A7" s="3">
        <v>6.0</v>
      </c>
      <c r="B7" s="4" t="s">
        <v>10</v>
      </c>
      <c r="C7" s="5" t="s">
        <v>9</v>
      </c>
      <c r="D7" s="5">
        <v>16.0</v>
      </c>
    </row>
    <row r="8">
      <c r="A8" s="3">
        <v>7.0</v>
      </c>
      <c r="B8" s="4" t="s">
        <v>11</v>
      </c>
      <c r="C8" s="5" t="s">
        <v>3</v>
      </c>
      <c r="D8" s="5">
        <v>17.0</v>
      </c>
    </row>
    <row r="9">
      <c r="A9" s="3">
        <v>8.0</v>
      </c>
      <c r="B9" s="4" t="s">
        <v>7</v>
      </c>
      <c r="C9" s="5" t="s">
        <v>9</v>
      </c>
      <c r="D9" s="5">
        <v>18.0</v>
      </c>
    </row>
    <row r="10">
      <c r="A10" s="3">
        <v>9.0</v>
      </c>
      <c r="B10" s="4" t="s">
        <v>12</v>
      </c>
      <c r="C10" s="5" t="s">
        <v>5</v>
      </c>
      <c r="D10" s="5">
        <v>19.0</v>
      </c>
    </row>
    <row r="11">
      <c r="A11" s="3">
        <v>10.0</v>
      </c>
      <c r="B11" s="4" t="s">
        <v>12</v>
      </c>
      <c r="C11" s="5" t="s">
        <v>5</v>
      </c>
      <c r="D11" s="5">
        <v>20.0</v>
      </c>
    </row>
    <row r="12">
      <c r="A12" s="3">
        <v>11.0</v>
      </c>
      <c r="B12" s="4" t="s">
        <v>12</v>
      </c>
      <c r="C12" s="5" t="s">
        <v>9</v>
      </c>
      <c r="D12" s="5">
        <v>1.0</v>
      </c>
    </row>
    <row r="13">
      <c r="A13" s="3">
        <v>12.0</v>
      </c>
      <c r="B13" s="4" t="s">
        <v>13</v>
      </c>
      <c r="C13" s="5" t="s">
        <v>2</v>
      </c>
      <c r="D13" s="5">
        <v>2.0</v>
      </c>
    </row>
    <row r="14">
      <c r="A14" s="3">
        <v>13.0</v>
      </c>
      <c r="B14" s="4" t="s">
        <v>14</v>
      </c>
      <c r="C14" s="5" t="s">
        <v>9</v>
      </c>
      <c r="D14" s="5">
        <v>3.0</v>
      </c>
    </row>
    <row r="15">
      <c r="A15" s="3">
        <v>14.0</v>
      </c>
      <c r="B15" s="4" t="s">
        <v>15</v>
      </c>
      <c r="C15" s="5" t="s">
        <v>2</v>
      </c>
      <c r="D15" s="5">
        <v>4.0</v>
      </c>
    </row>
    <row r="16">
      <c r="A16" s="3">
        <v>15.0</v>
      </c>
      <c r="B16" s="4" t="s">
        <v>16</v>
      </c>
      <c r="C16" s="5" t="s">
        <v>9</v>
      </c>
      <c r="D16" s="5">
        <v>5.0</v>
      </c>
    </row>
    <row r="17">
      <c r="A17" s="3">
        <v>16.0</v>
      </c>
      <c r="B17" s="4" t="s">
        <v>17</v>
      </c>
      <c r="C17" s="5" t="s">
        <v>2</v>
      </c>
      <c r="D17" s="5">
        <v>6.0</v>
      </c>
    </row>
    <row r="18">
      <c r="A18" s="3">
        <v>17.0</v>
      </c>
      <c r="B18" s="4" t="s">
        <v>18</v>
      </c>
      <c r="C18" s="5" t="s">
        <v>3</v>
      </c>
      <c r="D18" s="5">
        <v>7.0</v>
      </c>
    </row>
    <row r="19">
      <c r="A19" s="3">
        <v>18.0</v>
      </c>
      <c r="B19" s="4" t="s">
        <v>16</v>
      </c>
      <c r="C19" s="5" t="s">
        <v>5</v>
      </c>
      <c r="D19" s="5">
        <v>8.0</v>
      </c>
    </row>
    <row r="20">
      <c r="A20" s="3">
        <v>19.0</v>
      </c>
      <c r="B20" s="4" t="s">
        <v>19</v>
      </c>
      <c r="C20" s="5" t="s">
        <v>2</v>
      </c>
      <c r="D20" s="5">
        <v>9.0</v>
      </c>
    </row>
    <row r="21">
      <c r="A21" s="3">
        <v>20.0</v>
      </c>
      <c r="B21" s="4" t="s">
        <v>19</v>
      </c>
      <c r="C21" s="5" t="s">
        <v>3</v>
      </c>
      <c r="D21" s="5">
        <v>10.0</v>
      </c>
    </row>
    <row r="22">
      <c r="A22" s="1" t="s">
        <v>20</v>
      </c>
      <c r="B22" s="2" t="s">
        <v>1</v>
      </c>
      <c r="C22" s="2" t="s">
        <v>2</v>
      </c>
      <c r="D22" s="2" t="s">
        <v>3</v>
      </c>
    </row>
    <row r="23">
      <c r="A23" s="3">
        <v>1.0</v>
      </c>
      <c r="B23" s="4" t="s">
        <v>21</v>
      </c>
      <c r="C23" s="5" t="s">
        <v>2</v>
      </c>
      <c r="D23" s="5">
        <v>7.0</v>
      </c>
    </row>
    <row r="24">
      <c r="A24" s="3">
        <v>2.0</v>
      </c>
      <c r="B24" s="4" t="s">
        <v>22</v>
      </c>
      <c r="C24" s="5" t="s">
        <v>5</v>
      </c>
      <c r="D24" s="5">
        <v>8.0</v>
      </c>
    </row>
    <row r="25">
      <c r="A25" s="3">
        <v>3.0</v>
      </c>
      <c r="B25" s="4" t="s">
        <v>23</v>
      </c>
      <c r="C25" s="5" t="s">
        <v>9</v>
      </c>
      <c r="D25" s="5">
        <v>9.0</v>
      </c>
    </row>
    <row r="26">
      <c r="A26" s="3">
        <v>4.0</v>
      </c>
      <c r="B26" s="4" t="s">
        <v>23</v>
      </c>
      <c r="C26" s="5" t="s">
        <v>3</v>
      </c>
      <c r="D26" s="5">
        <v>10.0</v>
      </c>
    </row>
    <row r="27">
      <c r="A27" s="3">
        <v>5.0</v>
      </c>
      <c r="B27" s="4" t="s">
        <v>24</v>
      </c>
      <c r="C27" s="5" t="s">
        <v>2</v>
      </c>
      <c r="D27" s="5">
        <v>1.0</v>
      </c>
    </row>
    <row r="28">
      <c r="A28" s="3">
        <v>6.0</v>
      </c>
      <c r="B28" s="4" t="s">
        <v>24</v>
      </c>
      <c r="C28" s="5" t="s">
        <v>5</v>
      </c>
      <c r="D28" s="5">
        <v>2.0</v>
      </c>
    </row>
    <row r="29">
      <c r="A29" s="3">
        <v>7.0</v>
      </c>
      <c r="B29" s="4" t="s">
        <v>25</v>
      </c>
      <c r="C29" s="5" t="s">
        <v>9</v>
      </c>
      <c r="D29" s="5">
        <v>3.0</v>
      </c>
    </row>
    <row r="30">
      <c r="A30" s="3">
        <v>8.0</v>
      </c>
      <c r="B30" s="4" t="s">
        <v>25</v>
      </c>
      <c r="C30" s="5" t="s">
        <v>5</v>
      </c>
      <c r="D30" s="5">
        <v>4.0</v>
      </c>
    </row>
    <row r="31">
      <c r="A31" s="3">
        <v>9.0</v>
      </c>
      <c r="B31" s="4" t="s">
        <v>25</v>
      </c>
      <c r="C31" s="5" t="s">
        <v>2</v>
      </c>
      <c r="D31" s="5">
        <v>5.0</v>
      </c>
    </row>
    <row r="32">
      <c r="A32" s="3">
        <v>10.0</v>
      </c>
      <c r="B32" s="4" t="s">
        <v>24</v>
      </c>
      <c r="C32" s="5" t="s">
        <v>3</v>
      </c>
      <c r="D32" s="5">
        <v>6.0</v>
      </c>
    </row>
    <row r="33">
      <c r="A33" s="1" t="s">
        <v>26</v>
      </c>
      <c r="B33" s="2" t="s">
        <v>1</v>
      </c>
      <c r="C33" s="2" t="s">
        <v>2</v>
      </c>
      <c r="D33" s="2" t="s">
        <v>3</v>
      </c>
    </row>
    <row r="34">
      <c r="A34" s="3">
        <v>1.0</v>
      </c>
      <c r="B34" s="4" t="s">
        <v>27</v>
      </c>
      <c r="C34" s="5" t="s">
        <v>2</v>
      </c>
      <c r="D34" s="5">
        <v>5.0</v>
      </c>
    </row>
    <row r="35">
      <c r="A35" s="3">
        <v>2.0</v>
      </c>
      <c r="B35" s="4" t="s">
        <v>28</v>
      </c>
      <c r="C35" s="5" t="s">
        <v>5</v>
      </c>
      <c r="D35" s="5">
        <v>6.0</v>
      </c>
    </row>
    <row r="36">
      <c r="A36" s="3">
        <v>3.0</v>
      </c>
      <c r="B36" s="4" t="s">
        <v>28</v>
      </c>
      <c r="C36" s="5" t="s">
        <v>5</v>
      </c>
      <c r="D36" s="5">
        <v>7.0</v>
      </c>
    </row>
    <row r="37">
      <c r="A37" s="3">
        <v>4.0</v>
      </c>
      <c r="B37" s="4" t="s">
        <v>28</v>
      </c>
      <c r="C37" s="5" t="s">
        <v>3</v>
      </c>
      <c r="D37" s="5">
        <v>8.0</v>
      </c>
    </row>
    <row r="38">
      <c r="A38" s="3">
        <v>5.0</v>
      </c>
      <c r="B38" s="4" t="s">
        <v>28</v>
      </c>
      <c r="C38" s="5" t="s">
        <v>9</v>
      </c>
      <c r="D38" s="5">
        <v>9.0</v>
      </c>
    </row>
    <row r="39">
      <c r="A39" s="3">
        <v>6.0</v>
      </c>
      <c r="B39" s="4" t="s">
        <v>28</v>
      </c>
      <c r="C39" s="5" t="s">
        <v>9</v>
      </c>
      <c r="D39" s="5">
        <v>10.0</v>
      </c>
    </row>
    <row r="40">
      <c r="A40" s="3">
        <v>7.0</v>
      </c>
      <c r="B40" s="4" t="s">
        <v>29</v>
      </c>
      <c r="C40" s="5" t="s">
        <v>3</v>
      </c>
      <c r="D40" s="5">
        <v>1.0</v>
      </c>
    </row>
    <row r="41">
      <c r="A41" s="3">
        <v>8.0</v>
      </c>
      <c r="B41" s="4" t="s">
        <v>30</v>
      </c>
      <c r="C41" s="5" t="s">
        <v>5</v>
      </c>
      <c r="D41" s="5">
        <v>2.0</v>
      </c>
    </row>
    <row r="42">
      <c r="A42" s="3">
        <v>9.0</v>
      </c>
      <c r="B42" s="4" t="s">
        <v>31</v>
      </c>
      <c r="C42" s="5" t="s">
        <v>3</v>
      </c>
      <c r="D42" s="5">
        <v>3.0</v>
      </c>
    </row>
    <row r="43">
      <c r="A43" s="3">
        <v>10.0</v>
      </c>
      <c r="B43" s="4" t="s">
        <v>29</v>
      </c>
      <c r="C43" s="5" t="s">
        <v>2</v>
      </c>
      <c r="D43" s="5">
        <v>4.0</v>
      </c>
    </row>
    <row r="44">
      <c r="A44" s="1" t="s">
        <v>32</v>
      </c>
      <c r="B44" s="2" t="s">
        <v>1</v>
      </c>
      <c r="C44" s="2" t="s">
        <v>2</v>
      </c>
      <c r="D44" s="2" t="s">
        <v>3</v>
      </c>
    </row>
    <row r="45">
      <c r="A45" s="3">
        <v>1.0</v>
      </c>
      <c r="B45" s="4" t="s">
        <v>33</v>
      </c>
      <c r="C45" s="5" t="s">
        <v>2</v>
      </c>
      <c r="D45" s="5">
        <v>7.0</v>
      </c>
    </row>
    <row r="46">
      <c r="A46" s="3">
        <v>2.0</v>
      </c>
      <c r="B46" s="4" t="s">
        <v>33</v>
      </c>
      <c r="C46" s="5" t="s">
        <v>2</v>
      </c>
      <c r="D46" s="5">
        <v>8.0</v>
      </c>
    </row>
    <row r="47">
      <c r="A47" s="3">
        <v>3.0</v>
      </c>
      <c r="B47" s="4" t="s">
        <v>33</v>
      </c>
      <c r="C47" s="5" t="s">
        <v>9</v>
      </c>
      <c r="D47" s="5">
        <v>9.0</v>
      </c>
    </row>
    <row r="48">
      <c r="A48" s="3">
        <v>4.0</v>
      </c>
      <c r="B48" s="4" t="s">
        <v>34</v>
      </c>
      <c r="C48" s="5" t="s">
        <v>9</v>
      </c>
      <c r="D48" s="5">
        <v>10.0</v>
      </c>
    </row>
    <row r="49">
      <c r="A49" s="3">
        <v>5.0</v>
      </c>
      <c r="B49" s="4" t="s">
        <v>33</v>
      </c>
      <c r="C49" s="5" t="s">
        <v>3</v>
      </c>
      <c r="D49" s="5">
        <v>1.0</v>
      </c>
    </row>
    <row r="50">
      <c r="A50" s="3">
        <v>6.0</v>
      </c>
      <c r="B50" s="4" t="s">
        <v>33</v>
      </c>
      <c r="C50" s="5" t="s">
        <v>5</v>
      </c>
      <c r="D50" s="5">
        <v>2.0</v>
      </c>
    </row>
    <row r="51">
      <c r="A51" s="3">
        <v>7.0</v>
      </c>
      <c r="B51" s="4" t="s">
        <v>34</v>
      </c>
      <c r="C51" s="5" t="s">
        <v>2</v>
      </c>
      <c r="D51" s="5">
        <v>3.0</v>
      </c>
    </row>
    <row r="52">
      <c r="A52" s="3">
        <v>8.0</v>
      </c>
      <c r="B52" s="4" t="s">
        <v>33</v>
      </c>
      <c r="C52" s="5" t="s">
        <v>3</v>
      </c>
      <c r="D52" s="5">
        <v>4.0</v>
      </c>
    </row>
    <row r="53">
      <c r="A53" s="3">
        <v>9.0</v>
      </c>
      <c r="B53" s="4" t="s">
        <v>34</v>
      </c>
      <c r="C53" s="5" t="s">
        <v>3</v>
      </c>
      <c r="D53" s="5">
        <v>5.0</v>
      </c>
    </row>
    <row r="54">
      <c r="A54" s="3">
        <v>10.0</v>
      </c>
      <c r="B54" s="4" t="s">
        <v>33</v>
      </c>
      <c r="C54" s="5" t="s">
        <v>5</v>
      </c>
      <c r="D54" s="5">
        <v>6.0</v>
      </c>
    </row>
    <row r="55">
      <c r="A55" s="1" t="s">
        <v>35</v>
      </c>
      <c r="B55" s="2" t="s">
        <v>1</v>
      </c>
      <c r="C55" s="2" t="s">
        <v>2</v>
      </c>
      <c r="D55" s="2" t="s">
        <v>3</v>
      </c>
    </row>
    <row r="56">
      <c r="A56" s="3">
        <v>1.0</v>
      </c>
      <c r="B56" s="4" t="s">
        <v>36</v>
      </c>
      <c r="C56" s="5" t="s">
        <v>2</v>
      </c>
      <c r="D56" s="5">
        <v>12.0</v>
      </c>
    </row>
    <row r="57">
      <c r="A57" s="3">
        <v>2.0</v>
      </c>
      <c r="B57" s="4" t="s">
        <v>37</v>
      </c>
      <c r="C57" s="5" t="s">
        <v>5</v>
      </c>
      <c r="D57" s="5">
        <v>13.0</v>
      </c>
    </row>
    <row r="58">
      <c r="A58" s="3">
        <v>3.0</v>
      </c>
      <c r="B58" s="4" t="s">
        <v>36</v>
      </c>
      <c r="C58" s="5" t="s">
        <v>9</v>
      </c>
      <c r="D58" s="5">
        <v>14.0</v>
      </c>
    </row>
    <row r="59">
      <c r="A59" s="3">
        <v>4.0</v>
      </c>
      <c r="B59" s="4" t="s">
        <v>38</v>
      </c>
      <c r="C59" s="5" t="s">
        <v>5</v>
      </c>
      <c r="D59" s="5">
        <v>15.0</v>
      </c>
    </row>
    <row r="60">
      <c r="A60" s="3">
        <v>5.0</v>
      </c>
      <c r="B60" s="4" t="s">
        <v>39</v>
      </c>
      <c r="C60" s="5" t="s">
        <v>3</v>
      </c>
      <c r="D60" s="5">
        <v>16.0</v>
      </c>
    </row>
    <row r="61">
      <c r="A61" s="3">
        <v>6.0</v>
      </c>
      <c r="B61" s="4" t="s">
        <v>36</v>
      </c>
      <c r="C61" s="5" t="s">
        <v>5</v>
      </c>
      <c r="D61" s="5">
        <v>17.0</v>
      </c>
    </row>
    <row r="62">
      <c r="A62" s="3">
        <v>7.0</v>
      </c>
      <c r="B62" s="4" t="s">
        <v>39</v>
      </c>
      <c r="C62" s="5" t="s">
        <v>3</v>
      </c>
      <c r="D62" s="5">
        <v>18.0</v>
      </c>
    </row>
    <row r="63">
      <c r="A63" s="3">
        <v>8.0</v>
      </c>
      <c r="B63" s="4" t="s">
        <v>36</v>
      </c>
      <c r="C63" s="5" t="s">
        <v>2</v>
      </c>
      <c r="D63" s="5">
        <v>19.0</v>
      </c>
    </row>
    <row r="64">
      <c r="A64" s="3">
        <v>9.0</v>
      </c>
      <c r="B64" s="4" t="s">
        <v>36</v>
      </c>
      <c r="C64" s="5" t="s">
        <v>2</v>
      </c>
      <c r="D64" s="5">
        <v>20.0</v>
      </c>
    </row>
    <row r="65">
      <c r="A65" s="3">
        <v>10.0</v>
      </c>
      <c r="B65" s="4" t="s">
        <v>39</v>
      </c>
      <c r="C65" s="5" t="s">
        <v>5</v>
      </c>
      <c r="D65" s="5">
        <v>1.0</v>
      </c>
    </row>
    <row r="66">
      <c r="A66" s="3">
        <v>11.0</v>
      </c>
      <c r="B66" s="4" t="s">
        <v>36</v>
      </c>
      <c r="C66" s="5" t="s">
        <v>3</v>
      </c>
      <c r="D66" s="5">
        <v>2.0</v>
      </c>
    </row>
    <row r="67">
      <c r="A67" s="3">
        <v>12.0</v>
      </c>
      <c r="B67" s="4" t="s">
        <v>36</v>
      </c>
      <c r="C67" s="5" t="s">
        <v>9</v>
      </c>
      <c r="D67" s="5">
        <v>3.0</v>
      </c>
    </row>
    <row r="68">
      <c r="A68" s="3">
        <v>13.0</v>
      </c>
      <c r="B68" s="4" t="s">
        <v>36</v>
      </c>
      <c r="C68" s="5" t="s">
        <v>9</v>
      </c>
      <c r="D68" s="5">
        <v>4.0</v>
      </c>
    </row>
    <row r="69">
      <c r="A69" s="3">
        <v>14.0</v>
      </c>
      <c r="B69" s="4" t="s">
        <v>38</v>
      </c>
      <c r="C69" s="5" t="s">
        <v>3</v>
      </c>
      <c r="D69" s="5">
        <v>5.0</v>
      </c>
    </row>
    <row r="70">
      <c r="A70" s="3">
        <v>15.0</v>
      </c>
      <c r="B70" s="4" t="s">
        <v>37</v>
      </c>
      <c r="C70" s="5" t="s">
        <v>9</v>
      </c>
      <c r="D70" s="5">
        <v>6.0</v>
      </c>
    </row>
    <row r="71">
      <c r="A71" s="3">
        <v>16.0</v>
      </c>
      <c r="B71" s="4" t="s">
        <v>37</v>
      </c>
      <c r="C71" s="5" t="s">
        <v>2</v>
      </c>
      <c r="D71" s="5">
        <v>7.0</v>
      </c>
    </row>
    <row r="72">
      <c r="A72" s="3">
        <v>17.0</v>
      </c>
      <c r="B72" s="4" t="s">
        <v>40</v>
      </c>
      <c r="C72" s="5" t="s">
        <v>9</v>
      </c>
      <c r="D72" s="5">
        <v>8.0</v>
      </c>
    </row>
    <row r="73">
      <c r="A73" s="3">
        <v>18.0</v>
      </c>
      <c r="B73" s="4" t="s">
        <v>38</v>
      </c>
      <c r="C73" s="5" t="s">
        <v>5</v>
      </c>
      <c r="D73" s="5">
        <v>9.0</v>
      </c>
    </row>
    <row r="74">
      <c r="A74" s="3">
        <v>19.0</v>
      </c>
      <c r="B74" s="4" t="s">
        <v>39</v>
      </c>
      <c r="C74" s="5" t="s">
        <v>2</v>
      </c>
      <c r="D74" s="5">
        <v>10.0</v>
      </c>
    </row>
    <row r="75">
      <c r="A75" s="3">
        <v>20.0</v>
      </c>
      <c r="B75" s="4" t="s">
        <v>40</v>
      </c>
      <c r="C75" s="5" t="s">
        <v>5</v>
      </c>
      <c r="D75" s="5">
        <v>11.0</v>
      </c>
    </row>
    <row r="76">
      <c r="A76" s="1" t="s">
        <v>41</v>
      </c>
      <c r="B76" s="2" t="s">
        <v>1</v>
      </c>
      <c r="C76" s="2" t="s">
        <v>2</v>
      </c>
      <c r="D76" s="2" t="s">
        <v>3</v>
      </c>
    </row>
    <row r="77">
      <c r="A77" s="3">
        <v>1.0</v>
      </c>
      <c r="B77" s="4" t="s">
        <v>42</v>
      </c>
      <c r="C77" s="5" t="s">
        <v>5</v>
      </c>
      <c r="D77" s="5">
        <v>12.0</v>
      </c>
    </row>
    <row r="78">
      <c r="A78" s="3">
        <v>2.0</v>
      </c>
      <c r="B78" s="4" t="s">
        <v>43</v>
      </c>
      <c r="C78" s="5" t="s">
        <v>9</v>
      </c>
      <c r="D78" s="5">
        <v>13.0</v>
      </c>
    </row>
    <row r="79">
      <c r="A79" s="3">
        <v>3.0</v>
      </c>
      <c r="B79" s="4" t="s">
        <v>44</v>
      </c>
      <c r="C79" s="5" t="s">
        <v>2</v>
      </c>
      <c r="D79" s="5">
        <v>14.0</v>
      </c>
    </row>
    <row r="80">
      <c r="A80" s="3">
        <v>4.0</v>
      </c>
      <c r="B80" s="4" t="s">
        <v>43</v>
      </c>
      <c r="C80" s="5" t="s">
        <v>3</v>
      </c>
      <c r="D80" s="5">
        <v>15.0</v>
      </c>
    </row>
    <row r="81">
      <c r="A81" s="3">
        <v>5.0</v>
      </c>
      <c r="B81" s="4" t="s">
        <v>42</v>
      </c>
      <c r="C81" s="5" t="s">
        <v>5</v>
      </c>
      <c r="D81" s="5">
        <v>16.0</v>
      </c>
    </row>
    <row r="82">
      <c r="A82" s="3">
        <v>6.0</v>
      </c>
      <c r="B82" s="4" t="s">
        <v>45</v>
      </c>
      <c r="C82" s="5" t="s">
        <v>2</v>
      </c>
      <c r="D82" s="5">
        <v>17.0</v>
      </c>
    </row>
    <row r="83">
      <c r="A83" s="3">
        <v>7.0</v>
      </c>
      <c r="B83" s="4" t="s">
        <v>42</v>
      </c>
      <c r="C83" s="5" t="s">
        <v>2</v>
      </c>
      <c r="D83" s="5">
        <v>18.0</v>
      </c>
    </row>
    <row r="84">
      <c r="A84" s="3">
        <v>8.0</v>
      </c>
      <c r="B84" s="4" t="s">
        <v>46</v>
      </c>
      <c r="C84" s="5" t="s">
        <v>3</v>
      </c>
      <c r="D84" s="5">
        <v>19.0</v>
      </c>
    </row>
    <row r="85">
      <c r="A85" s="3">
        <v>9.0</v>
      </c>
      <c r="B85" s="4" t="s">
        <v>46</v>
      </c>
      <c r="C85" s="5" t="s">
        <v>9</v>
      </c>
      <c r="D85" s="5">
        <v>20.0</v>
      </c>
    </row>
    <row r="86">
      <c r="A86" s="3">
        <v>10.0</v>
      </c>
      <c r="B86" s="4" t="s">
        <v>45</v>
      </c>
      <c r="C86" s="5" t="s">
        <v>5</v>
      </c>
      <c r="D86" s="5">
        <v>1.0</v>
      </c>
    </row>
    <row r="87">
      <c r="A87" s="3">
        <v>11.0</v>
      </c>
      <c r="B87" s="4" t="s">
        <v>42</v>
      </c>
      <c r="C87" s="5" t="s">
        <v>3</v>
      </c>
      <c r="D87" s="5">
        <v>2.0</v>
      </c>
    </row>
    <row r="88">
      <c r="A88" s="3">
        <v>12.0</v>
      </c>
      <c r="B88" s="4" t="s">
        <v>47</v>
      </c>
      <c r="C88" s="5" t="s">
        <v>9</v>
      </c>
      <c r="D88" s="5">
        <v>3.0</v>
      </c>
    </row>
    <row r="89">
      <c r="A89" s="3">
        <v>13.0</v>
      </c>
      <c r="B89" s="4" t="s">
        <v>47</v>
      </c>
      <c r="C89" s="5" t="s">
        <v>3</v>
      </c>
      <c r="D89" s="5">
        <v>4.0</v>
      </c>
    </row>
    <row r="90">
      <c r="A90" s="3">
        <v>14.0</v>
      </c>
      <c r="B90" s="4" t="s">
        <v>48</v>
      </c>
      <c r="C90" s="5" t="s">
        <v>5</v>
      </c>
      <c r="D90" s="5">
        <v>5.0</v>
      </c>
    </row>
    <row r="91">
      <c r="A91" s="3">
        <v>15.0</v>
      </c>
      <c r="B91" s="4" t="s">
        <v>43</v>
      </c>
      <c r="C91" s="5" t="s">
        <v>9</v>
      </c>
      <c r="D91" s="5">
        <v>6.0</v>
      </c>
    </row>
    <row r="92">
      <c r="A92" s="3">
        <v>16.0</v>
      </c>
      <c r="B92" s="4" t="s">
        <v>42</v>
      </c>
      <c r="C92" s="5" t="s">
        <v>5</v>
      </c>
      <c r="D92" s="5">
        <v>7.0</v>
      </c>
    </row>
    <row r="93">
      <c r="A93" s="3">
        <v>17.0</v>
      </c>
      <c r="B93" s="4" t="s">
        <v>42</v>
      </c>
      <c r="C93" s="5" t="s">
        <v>5</v>
      </c>
      <c r="D93" s="5">
        <v>8.0</v>
      </c>
    </row>
    <row r="94">
      <c r="A94" s="3">
        <v>18.0</v>
      </c>
      <c r="B94" s="4" t="s">
        <v>45</v>
      </c>
      <c r="C94" s="5" t="s">
        <v>9</v>
      </c>
      <c r="D94" s="5">
        <v>9.0</v>
      </c>
    </row>
    <row r="95">
      <c r="A95" s="3">
        <v>19.0</v>
      </c>
      <c r="B95" s="4" t="s">
        <v>48</v>
      </c>
      <c r="C95" s="5" t="s">
        <v>3</v>
      </c>
      <c r="D95" s="5">
        <v>10.0</v>
      </c>
    </row>
    <row r="96">
      <c r="A96" s="3">
        <v>20.0</v>
      </c>
      <c r="B96" s="4" t="s">
        <v>48</v>
      </c>
      <c r="C96" s="5" t="s">
        <v>2</v>
      </c>
      <c r="D96" s="5">
        <v>11.0</v>
      </c>
    </row>
  </sheetData>
  <dataValidations>
    <dataValidation type="list" allowBlank="1" showErrorMessage="1" sqref="B45:B54">
      <formula1>A!$E$27:$E$51</formula1>
    </dataValidation>
    <dataValidation type="list" allowBlank="1" showErrorMessage="1" sqref="B56:B75">
      <formula1>A!$E$119:$E$166</formula1>
    </dataValidation>
    <dataValidation type="list" allowBlank="1" showErrorMessage="1" sqref="B34:B43">
      <formula1>A!$E$2:$E$26</formula1>
    </dataValidation>
    <dataValidation type="list" allowBlank="1" showErrorMessage="1" sqref="B2:B21">
      <formula1>A!$E$198:$E$342</formula1>
    </dataValidation>
    <dataValidation type="list" allowBlank="1" showErrorMessage="1" sqref="B77:B96">
      <formula1>A!$E$52:$E$118</formula1>
    </dataValidation>
    <dataValidation type="list" allowBlank="1" showErrorMessage="1" sqref="B23:B32">
      <formula1>A!$E$167:$E$197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3" width="18.11"/>
    <col customWidth="1" min="4" max="5" width="8.33"/>
    <col customWidth="1" min="6" max="6" width="18.11"/>
    <col customWidth="1" min="7" max="7" width="13.11"/>
    <col customWidth="1" min="8" max="8" width="28.78"/>
    <col customWidth="1" min="9" max="9" width="43.33"/>
    <col customWidth="1" min="10" max="10" width="117.89"/>
    <col customWidth="1" min="11" max="11" width="33.78"/>
  </cols>
  <sheetData>
    <row r="1">
      <c r="A1" s="6" t="s">
        <v>49</v>
      </c>
      <c r="B1" s="7"/>
      <c r="C1" s="7"/>
      <c r="D1" s="7"/>
      <c r="E1" s="7"/>
      <c r="F1" s="8"/>
      <c r="G1" s="9" t="s">
        <v>50</v>
      </c>
      <c r="H1" s="10" t="s">
        <v>51</v>
      </c>
      <c r="I1" s="8"/>
      <c r="J1" s="9" t="s">
        <v>52</v>
      </c>
      <c r="K1" s="10">
        <v>3.0</v>
      </c>
      <c r="L1" s="11"/>
      <c r="M1" s="11"/>
      <c r="N1" s="11"/>
      <c r="O1" s="11"/>
      <c r="P1" s="11"/>
    </row>
    <row r="2">
      <c r="A2" s="12"/>
      <c r="B2" s="7"/>
      <c r="C2" s="7"/>
      <c r="D2" s="7"/>
      <c r="E2" s="7"/>
      <c r="F2" s="8"/>
      <c r="G2" s="13" t="s">
        <v>53</v>
      </c>
      <c r="H2" s="10">
        <v>7.0</v>
      </c>
      <c r="I2" s="8"/>
      <c r="J2" s="13" t="s">
        <v>54</v>
      </c>
      <c r="K2" s="14">
        <v>500.0</v>
      </c>
      <c r="L2" s="11"/>
      <c r="M2" s="11"/>
      <c r="N2" s="11"/>
      <c r="O2" s="11"/>
      <c r="P2" s="11"/>
    </row>
    <row r="3">
      <c r="A3" s="15" t="s">
        <v>0</v>
      </c>
      <c r="B3" s="16" t="s">
        <v>55</v>
      </c>
      <c r="C3" s="16" t="s">
        <v>3</v>
      </c>
      <c r="D3" s="16" t="s">
        <v>5</v>
      </c>
      <c r="E3" s="16" t="s">
        <v>9</v>
      </c>
      <c r="F3" s="16" t="s">
        <v>56</v>
      </c>
      <c r="G3" s="16" t="s">
        <v>57</v>
      </c>
      <c r="H3" s="16" t="s">
        <v>58</v>
      </c>
      <c r="I3" s="16" t="s">
        <v>59</v>
      </c>
      <c r="J3" s="16" t="s">
        <v>1</v>
      </c>
      <c r="K3" s="17" t="s">
        <v>60</v>
      </c>
      <c r="L3" s="11"/>
      <c r="M3" s="11"/>
      <c r="N3" s="11"/>
      <c r="O3" s="11"/>
      <c r="P3" s="11"/>
    </row>
    <row r="4">
      <c r="A4" s="18">
        <v>1.0</v>
      </c>
      <c r="B4" s="19" t="str">
        <f>'7. Sınıf Denemeol'!C2</f>
        <v>C</v>
      </c>
      <c r="C4" s="20">
        <f>'7. Sınıf Denemeol'!D2</f>
        <v>11</v>
      </c>
      <c r="D4" s="21" t="str">
        <f t="shared" ref="D4:E4" si="1">#REF!</f>
        <v>#REF!</v>
      </c>
      <c r="E4" s="21" t="str">
        <f t="shared" si="1"/>
        <v>#REF!</v>
      </c>
      <c r="F4" s="22" t="s">
        <v>0</v>
      </c>
      <c r="G4" s="21"/>
      <c r="H4" s="23" t="str">
        <f t="shared" ref="H4:H23" si="3">LEFT(J4,FIND(" ",J4)-1)</f>
        <v>T.7.3.5.16.</v>
      </c>
      <c r="I4" s="24" t="str">
        <f t="array" ref="I4">IFERROR(INDEX(A!D:D, MATCH(J4, A!E:E, 0)), "bulunamadı")</f>
        <v>Sözcükte Anlam</v>
      </c>
      <c r="J4" s="25" t="str">
        <f>'7. Sınıf Denemeol'!B2</f>
        <v>T.7.3.5.16. Eş sesli kelimelerin anlamlarını ayırt eder.</v>
      </c>
      <c r="K4" s="26"/>
      <c r="L4" s="11"/>
      <c r="M4" s="11"/>
      <c r="N4" s="11"/>
      <c r="O4" s="11"/>
      <c r="P4" s="11"/>
    </row>
    <row r="5">
      <c r="A5" s="18">
        <v>2.0</v>
      </c>
      <c r="B5" s="19" t="str">
        <f>'7. Sınıf Denemeol'!C3</f>
        <v>A</v>
      </c>
      <c r="C5" s="20">
        <f>'7. Sınıf Denemeol'!D3</f>
        <v>12</v>
      </c>
      <c r="D5" s="21" t="str">
        <f t="shared" ref="D5:E5" si="2">#REF!</f>
        <v>#REF!</v>
      </c>
      <c r="E5" s="21" t="str">
        <f t="shared" si="2"/>
        <v>#REF!</v>
      </c>
      <c r="F5" s="22" t="s">
        <v>0</v>
      </c>
      <c r="G5" s="21"/>
      <c r="H5" s="23" t="str">
        <f t="shared" si="3"/>
        <v>T.7.3.5.1.</v>
      </c>
      <c r="I5" s="24" t="str">
        <f t="array" ref="I5">IFERROR(INDEX(A!D:D, MATCH(J5, A!E:E, 0)), "bulunamadı")</f>
        <v>Sözcükte Anlam</v>
      </c>
      <c r="J5" s="25" t="str">
        <f>'7. Sınıf Denemeol'!B3</f>
        <v>T.7.3.5.1. Bağlamdan yararlanarak bilmediği kelime ve kelime gruplarının anlamını tahmin eder.</v>
      </c>
      <c r="K5" s="26"/>
      <c r="L5" s="11"/>
      <c r="M5" s="11"/>
      <c r="N5" s="11"/>
      <c r="O5" s="11"/>
      <c r="P5" s="11"/>
    </row>
    <row r="6">
      <c r="A6" s="18">
        <v>3.0</v>
      </c>
      <c r="B6" s="19" t="str">
        <f>'7. Sınıf Denemeol'!C4</f>
        <v>B</v>
      </c>
      <c r="C6" s="20">
        <f>'7. Sınıf Denemeol'!D4</f>
        <v>13</v>
      </c>
      <c r="D6" s="21" t="str">
        <f t="shared" ref="D6:E6" si="4">#REF!</f>
        <v>#REF!</v>
      </c>
      <c r="E6" s="21" t="str">
        <f t="shared" si="4"/>
        <v>#REF!</v>
      </c>
      <c r="F6" s="22" t="s">
        <v>0</v>
      </c>
      <c r="G6" s="21"/>
      <c r="H6" s="23" t="str">
        <f t="shared" si="3"/>
        <v>T.7.4.4.3.</v>
      </c>
      <c r="I6" s="24" t="str">
        <f t="array" ref="I6">IFERROR(INDEX(A!D:D, MATCH(J6, A!E:E, 0)), "bulunamadı")</f>
        <v>Paragrafta Anlam</v>
      </c>
      <c r="J6" s="25" t="str">
        <f>'7. Sınıf Denemeol'!B4</f>
        <v>T.7.4.4.3. Metinde boş bırakılan bölümü anlam akışına göre tamamlar.</v>
      </c>
      <c r="K6" s="26"/>
      <c r="L6" s="11"/>
      <c r="M6" s="11"/>
      <c r="N6" s="11"/>
      <c r="O6" s="11"/>
      <c r="P6" s="11"/>
    </row>
    <row r="7">
      <c r="A7" s="18">
        <v>4.0</v>
      </c>
      <c r="B7" s="19" t="str">
        <f>'7. Sınıf Denemeol'!C5</f>
        <v>C</v>
      </c>
      <c r="C7" s="20">
        <f>'7. Sınıf Denemeol'!D5</f>
        <v>14</v>
      </c>
      <c r="D7" s="21" t="str">
        <f t="shared" ref="D7:E7" si="5">#REF!</f>
        <v>#REF!</v>
      </c>
      <c r="E7" s="21" t="str">
        <f t="shared" si="5"/>
        <v>#REF!</v>
      </c>
      <c r="F7" s="22" t="s">
        <v>0</v>
      </c>
      <c r="G7" s="21"/>
      <c r="H7" s="23" t="str">
        <f t="shared" si="3"/>
        <v>T.7.3.5.1.</v>
      </c>
      <c r="I7" s="24" t="str">
        <f t="array" ref="I7">IFERROR(INDEX(A!D:D, MATCH(J7, A!E:E, 0)), "bulunamadı")</f>
        <v>Sözcükte Anlam</v>
      </c>
      <c r="J7" s="25" t="str">
        <f>'7. Sınıf Denemeol'!B5</f>
        <v>T.7.3.5.1. Bağlamdan yararlanarak bilmediği kelime ve kelime gruplarının anlamını tahmin eder.</v>
      </c>
      <c r="K7" s="26"/>
      <c r="L7" s="11"/>
      <c r="M7" s="11"/>
      <c r="N7" s="11"/>
      <c r="O7" s="11"/>
      <c r="P7" s="11"/>
    </row>
    <row r="8">
      <c r="A8" s="18">
        <v>5.0</v>
      </c>
      <c r="B8" s="19" t="str">
        <f>'7. Sınıf Denemeol'!C6</f>
        <v>D</v>
      </c>
      <c r="C8" s="20">
        <f>'7. Sınıf Denemeol'!D6</f>
        <v>15</v>
      </c>
      <c r="D8" s="21" t="str">
        <f t="shared" ref="D8:E8" si="6">#REF!</f>
        <v>#REF!</v>
      </c>
      <c r="E8" s="21" t="str">
        <f t="shared" si="6"/>
        <v>#REF!</v>
      </c>
      <c r="F8" s="22" t="s">
        <v>0</v>
      </c>
      <c r="G8" s="21"/>
      <c r="H8" s="23" t="str">
        <f t="shared" si="3"/>
        <v>T.7.3.28.2.</v>
      </c>
      <c r="I8" s="24" t="str">
        <f t="array" ref="I8">IFERROR(INDEX(A!D:D, MATCH(J8, A!E:E, 0)), "bulunamadı")</f>
        <v>Cümlede Anlam</v>
      </c>
      <c r="J8" s="25" t="str">
        <f>'7. Sınıf Denemeol'!B6</f>
        <v>T.7.3.28.2. Cümlede anlatılmak istenileni yorumlar.</v>
      </c>
      <c r="K8" s="26"/>
      <c r="L8" s="11"/>
      <c r="M8" s="11"/>
      <c r="N8" s="11"/>
      <c r="O8" s="11"/>
      <c r="P8" s="11"/>
    </row>
    <row r="9">
      <c r="A9" s="18">
        <v>6.0</v>
      </c>
      <c r="B9" s="19" t="str">
        <f>'7. Sınıf Denemeol'!C7</f>
        <v>D</v>
      </c>
      <c r="C9" s="20">
        <f>'7. Sınıf Denemeol'!D7</f>
        <v>16</v>
      </c>
      <c r="D9" s="21" t="str">
        <f t="shared" ref="D9:E9" si="7">#REF!</f>
        <v>#REF!</v>
      </c>
      <c r="E9" s="21" t="str">
        <f t="shared" si="7"/>
        <v>#REF!</v>
      </c>
      <c r="F9" s="22" t="s">
        <v>0</v>
      </c>
      <c r="G9" s="21"/>
      <c r="H9" s="23" t="str">
        <f t="shared" si="3"/>
        <v>T.7.3.37.</v>
      </c>
      <c r="I9" s="24" t="str">
        <f t="array" ref="I9">IFERROR(INDEX(A!D:D, MATCH(J9, A!E:E, 0)), "bulunamadı")</f>
        <v>Paragrafta Anlam</v>
      </c>
      <c r="J9" s="25" t="str">
        <f>'7. Sınıf Denemeol'!B7</f>
        <v>T.7.3.37. Metinde kullanılan düşünceyi geliştirme yollarını belirler.</v>
      </c>
      <c r="K9" s="26"/>
      <c r="L9" s="11"/>
      <c r="M9" s="11"/>
      <c r="N9" s="11"/>
      <c r="O9" s="11"/>
      <c r="P9" s="11"/>
    </row>
    <row r="10">
      <c r="A10" s="18">
        <v>7.0</v>
      </c>
      <c r="B10" s="19" t="str">
        <f>'7. Sınıf Denemeol'!C8</f>
        <v>B</v>
      </c>
      <c r="C10" s="20">
        <f>'7. Sınıf Denemeol'!D8</f>
        <v>17</v>
      </c>
      <c r="D10" s="21" t="str">
        <f t="shared" ref="D10:E10" si="8">#REF!</f>
        <v>#REF!</v>
      </c>
      <c r="E10" s="21" t="str">
        <f t="shared" si="8"/>
        <v>#REF!</v>
      </c>
      <c r="F10" s="22" t="s">
        <v>0</v>
      </c>
      <c r="G10" s="21"/>
      <c r="H10" s="23" t="str">
        <f t="shared" si="3"/>
        <v>T.7.3.28.16.</v>
      </c>
      <c r="I10" s="24" t="str">
        <f t="array" ref="I10">IFERROR(INDEX(A!D:D, MATCH(J10, A!E:E, 0)), "bulunamadı")</f>
        <v>Cümlede Anlam</v>
      </c>
      <c r="J10" s="25" t="str">
        <f>'7. Sınıf Denemeol'!B8</f>
        <v>T.7.3.28.16. Cümledeki örtülü anlamı tespit eder.</v>
      </c>
      <c r="K10" s="26"/>
      <c r="L10" s="11"/>
      <c r="M10" s="11"/>
      <c r="N10" s="11"/>
      <c r="O10" s="11"/>
      <c r="P10" s="11"/>
    </row>
    <row r="11">
      <c r="A11" s="18">
        <v>8.0</v>
      </c>
      <c r="B11" s="19" t="str">
        <f>'7. Sınıf Denemeol'!C9</f>
        <v>D</v>
      </c>
      <c r="C11" s="20">
        <f>'7. Sınıf Denemeol'!D9</f>
        <v>18</v>
      </c>
      <c r="D11" s="21" t="str">
        <f t="shared" ref="D11:E11" si="9">#REF!</f>
        <v>#REF!</v>
      </c>
      <c r="E11" s="21" t="str">
        <f t="shared" si="9"/>
        <v>#REF!</v>
      </c>
      <c r="F11" s="22" t="s">
        <v>0</v>
      </c>
      <c r="G11" s="21"/>
      <c r="H11" s="23" t="str">
        <f t="shared" si="3"/>
        <v>T.7.4.4.3.</v>
      </c>
      <c r="I11" s="24" t="str">
        <f t="array" ref="I11">IFERROR(INDEX(A!D:D, MATCH(J11, A!E:E, 0)), "bulunamadı")</f>
        <v>Paragrafta Anlam</v>
      </c>
      <c r="J11" s="25" t="str">
        <f>'7. Sınıf Denemeol'!B9</f>
        <v>T.7.4.4.3. Metinde boş bırakılan bölümü anlam akışına göre tamamlar.</v>
      </c>
      <c r="K11" s="26"/>
      <c r="L11" s="11"/>
      <c r="M11" s="11"/>
      <c r="N11" s="11"/>
      <c r="O11" s="11"/>
      <c r="P11" s="11"/>
    </row>
    <row r="12">
      <c r="A12" s="18">
        <v>9.0</v>
      </c>
      <c r="B12" s="19" t="str">
        <f>'7. Sınıf Denemeol'!C10</f>
        <v>C</v>
      </c>
      <c r="C12" s="20">
        <f>'7. Sınıf Denemeol'!D10</f>
        <v>19</v>
      </c>
      <c r="D12" s="21" t="str">
        <f t="shared" ref="D12:E12" si="10">#REF!</f>
        <v>#REF!</v>
      </c>
      <c r="E12" s="21" t="str">
        <f t="shared" si="10"/>
        <v>#REF!</v>
      </c>
      <c r="F12" s="22" t="s">
        <v>0</v>
      </c>
      <c r="G12" s="21"/>
      <c r="H12" s="23" t="str">
        <f t="shared" si="3"/>
        <v>T.7.3.17.1.</v>
      </c>
      <c r="I12" s="24" t="str">
        <f t="array" ref="I12">IFERROR(INDEX(A!D:D, MATCH(J12, A!E:E, 0)), "bulunamadı")</f>
        <v>Paragrafta Anlam</v>
      </c>
      <c r="J12" s="25" t="str">
        <f>'7. Sınıf Denemeol'!B10</f>
        <v>T.7.3.17.1. Metnin ana fikrini/ana duygusunu belirler.</v>
      </c>
      <c r="K12" s="27"/>
      <c r="L12" s="11"/>
      <c r="M12" s="11"/>
      <c r="N12" s="11"/>
      <c r="O12" s="11"/>
      <c r="P12" s="11"/>
    </row>
    <row r="13">
      <c r="A13" s="18">
        <v>10.0</v>
      </c>
      <c r="B13" s="19" t="str">
        <f>'7. Sınıf Denemeol'!C11</f>
        <v>C</v>
      </c>
      <c r="C13" s="20">
        <f>'7. Sınıf Denemeol'!D11</f>
        <v>20</v>
      </c>
      <c r="D13" s="21" t="str">
        <f t="shared" ref="D13:E13" si="11">#REF!</f>
        <v>#REF!</v>
      </c>
      <c r="E13" s="21" t="str">
        <f t="shared" si="11"/>
        <v>#REF!</v>
      </c>
      <c r="F13" s="22" t="s">
        <v>0</v>
      </c>
      <c r="G13" s="21"/>
      <c r="H13" s="23" t="str">
        <f t="shared" si="3"/>
        <v>T.7.3.17.1.</v>
      </c>
      <c r="I13" s="24" t="str">
        <f t="array" ref="I13">IFERROR(INDEX(A!D:D, MATCH(J13, A!E:E, 0)), "bulunamadı")</f>
        <v>Paragrafta Anlam</v>
      </c>
      <c r="J13" s="25" t="str">
        <f>'7. Sınıf Denemeol'!B11</f>
        <v>T.7.3.17.1. Metnin ana fikrini/ana duygusunu belirler.</v>
      </c>
      <c r="K13" s="27"/>
      <c r="L13" s="11"/>
      <c r="M13" s="11"/>
      <c r="N13" s="11"/>
      <c r="O13" s="11"/>
      <c r="P13" s="11"/>
    </row>
    <row r="14">
      <c r="A14" s="18">
        <v>11.0</v>
      </c>
      <c r="B14" s="19" t="str">
        <f>'7. Sınıf Denemeol'!C12</f>
        <v>D</v>
      </c>
      <c r="C14" s="20">
        <f>'7. Sınıf Denemeol'!D12</f>
        <v>1</v>
      </c>
      <c r="D14" s="21" t="str">
        <f t="shared" ref="D14:E14" si="12">#REF!</f>
        <v>#REF!</v>
      </c>
      <c r="E14" s="21" t="str">
        <f t="shared" si="12"/>
        <v>#REF!</v>
      </c>
      <c r="F14" s="22" t="s">
        <v>0</v>
      </c>
      <c r="G14" s="21"/>
      <c r="H14" s="23" t="str">
        <f t="shared" si="3"/>
        <v>T.7.3.17.1.</v>
      </c>
      <c r="I14" s="24" t="str">
        <f t="array" ref="I14">IFERROR(INDEX(A!D:D, MATCH(J14, A!E:E, 0)), "bulunamadı")</f>
        <v>Paragrafta Anlam</v>
      </c>
      <c r="J14" s="25" t="str">
        <f>'7. Sınıf Denemeol'!B12</f>
        <v>T.7.3.17.1. Metnin ana fikrini/ana duygusunu belirler.</v>
      </c>
      <c r="K14" s="26"/>
      <c r="L14" s="11"/>
      <c r="M14" s="11"/>
      <c r="N14" s="28"/>
      <c r="O14" s="11"/>
      <c r="P14" s="11"/>
    </row>
    <row r="15">
      <c r="A15" s="18">
        <v>12.0</v>
      </c>
      <c r="B15" s="19" t="str">
        <f>'7. Sınıf Denemeol'!C13</f>
        <v>A</v>
      </c>
      <c r="C15" s="20">
        <f>'7. Sınıf Denemeol'!D13</f>
        <v>2</v>
      </c>
      <c r="D15" s="21" t="str">
        <f t="shared" ref="D15:E15" si="13">#REF!</f>
        <v>#REF!</v>
      </c>
      <c r="E15" s="21" t="str">
        <f t="shared" si="13"/>
        <v>#REF!</v>
      </c>
      <c r="F15" s="22" t="s">
        <v>0</v>
      </c>
      <c r="G15" s="21"/>
      <c r="H15" s="23" t="str">
        <f t="shared" si="3"/>
        <v>T.7.3.28.18.</v>
      </c>
      <c r="I15" s="24" t="str">
        <f t="array" ref="I15">IFERROR(INDEX(A!D:D, MATCH(J15, A!E:E, 0)), "bulunamadı")</f>
        <v>Cümlede Anlam</v>
      </c>
      <c r="J15" s="25" t="str">
        <f>'7. Sınıf Denemeol'!B13</f>
        <v>T.7.3.28.18. Karışık olarak verilen sözcüklerden cümle oluşturur.</v>
      </c>
      <c r="K15" s="26"/>
      <c r="L15" s="11"/>
      <c r="M15" s="11"/>
      <c r="N15" s="11"/>
      <c r="O15" s="11"/>
      <c r="P15" s="11"/>
    </row>
    <row r="16">
      <c r="A16" s="18">
        <v>13.0</v>
      </c>
      <c r="B16" s="19" t="str">
        <f>'7. Sınıf Denemeol'!C14</f>
        <v>D</v>
      </c>
      <c r="C16" s="20">
        <f>'7. Sınıf Denemeol'!D14</f>
        <v>3</v>
      </c>
      <c r="D16" s="21" t="str">
        <f t="shared" ref="D16:E16" si="14">#REF!</f>
        <v>#REF!</v>
      </c>
      <c r="E16" s="21" t="str">
        <f t="shared" si="14"/>
        <v>#REF!</v>
      </c>
      <c r="F16" s="22" t="s">
        <v>0</v>
      </c>
      <c r="G16" s="21"/>
      <c r="H16" s="23" t="str">
        <f t="shared" si="3"/>
        <v>T.7.3.18.</v>
      </c>
      <c r="I16" s="24" t="str">
        <f t="array" ref="I16">IFERROR(INDEX(A!D:D, MATCH(J16, A!E:E, 0)), "bulunamadı")</f>
        <v>Paragrafta Anlam</v>
      </c>
      <c r="J16" s="25" t="str">
        <f>'7. Sınıf Denemeol'!B14</f>
        <v>T.7.3.18. Metindeki yardımcı fikirleri belirler.</v>
      </c>
      <c r="K16" s="26"/>
      <c r="L16" s="11"/>
      <c r="M16" s="11"/>
      <c r="N16" s="11"/>
      <c r="O16" s="11"/>
      <c r="P16" s="11"/>
    </row>
    <row r="17">
      <c r="A17" s="18">
        <v>14.0</v>
      </c>
      <c r="B17" s="19" t="str">
        <f>'7. Sınıf Denemeol'!C15</f>
        <v>A</v>
      </c>
      <c r="C17" s="20">
        <f>'7. Sınıf Denemeol'!D15</f>
        <v>4</v>
      </c>
      <c r="D17" s="21" t="str">
        <f t="shared" ref="D17:E17" si="15">#REF!</f>
        <v>#REF!</v>
      </c>
      <c r="E17" s="21" t="str">
        <f t="shared" si="15"/>
        <v>#REF!</v>
      </c>
      <c r="F17" s="22" t="s">
        <v>0</v>
      </c>
      <c r="G17" s="21"/>
      <c r="H17" s="23" t="str">
        <f t="shared" si="3"/>
        <v>T.7.3.24.2.</v>
      </c>
      <c r="I17" s="24" t="str">
        <f t="array" ref="I17">IFERROR(INDEX(A!D:D, MATCH(J17, A!E:E, 0)), "bulunamadı")</f>
        <v>Sözel Mantık ve Muhakeme</v>
      </c>
      <c r="J17" s="25" t="str">
        <f>'7. Sınıf Denemeol'!B15</f>
        <v>T.7.3.24.2. Sözel mantık ve muhakeme sorularına cevap verir.</v>
      </c>
      <c r="K17" s="27"/>
      <c r="L17" s="11"/>
      <c r="M17" s="11"/>
      <c r="N17" s="11"/>
      <c r="O17" s="11"/>
      <c r="P17" s="11"/>
    </row>
    <row r="18">
      <c r="A18" s="18">
        <v>15.0</v>
      </c>
      <c r="B18" s="19" t="str">
        <f>'7. Sınıf Denemeol'!C16</f>
        <v>D</v>
      </c>
      <c r="C18" s="20">
        <f>'7. Sınıf Denemeol'!D16</f>
        <v>5</v>
      </c>
      <c r="D18" s="21" t="str">
        <f t="shared" ref="D18:E18" si="16">#REF!</f>
        <v>#REF!</v>
      </c>
      <c r="E18" s="21" t="str">
        <f t="shared" si="16"/>
        <v>#REF!</v>
      </c>
      <c r="F18" s="22" t="s">
        <v>0</v>
      </c>
      <c r="G18" s="21"/>
      <c r="H18" s="23" t="str">
        <f t="shared" si="3"/>
        <v>T.7.3.34.</v>
      </c>
      <c r="I18" s="24" t="str">
        <f t="array" ref="I18">IFERROR(INDEX(A!D:D, MATCH(J18, A!E:E, 0)), "bulunamadı")</f>
        <v>Tablo ve Grafik Okuma</v>
      </c>
      <c r="J18" s="25" t="str">
        <f>'7. Sınıf Denemeol'!B16</f>
        <v>T.7.3.34. Grafik, tablo ve çizelgeyle sunulan bilgileri yorumlar.</v>
      </c>
      <c r="K18" s="26"/>
      <c r="L18" s="11"/>
      <c r="M18" s="11"/>
      <c r="N18" s="11"/>
      <c r="O18" s="11"/>
      <c r="P18" s="11"/>
    </row>
    <row r="19">
      <c r="A19" s="18">
        <v>16.0</v>
      </c>
      <c r="B19" s="19" t="str">
        <f>'7. Sınıf Denemeol'!C17</f>
        <v>A</v>
      </c>
      <c r="C19" s="20">
        <f>'7. Sınıf Denemeol'!D17</f>
        <v>6</v>
      </c>
      <c r="D19" s="21" t="str">
        <f t="shared" ref="D19:E19" si="17">#REF!</f>
        <v>#REF!</v>
      </c>
      <c r="E19" s="21" t="str">
        <f t="shared" si="17"/>
        <v>#REF!</v>
      </c>
      <c r="F19" s="22" t="s">
        <v>0</v>
      </c>
      <c r="G19" s="21"/>
      <c r="H19" s="23" t="str">
        <f t="shared" si="3"/>
        <v>T.7.3.38.</v>
      </c>
      <c r="I19" s="24" t="str">
        <f t="array" ref="I19">IFERROR(INDEX(A!D:D, MATCH(J19, A!E:E, 0)), "bulunamadı")</f>
        <v>Paragrafta Anlam</v>
      </c>
      <c r="J19" s="25" t="str">
        <f>'7. Sınıf Denemeol'!B17</f>
        <v>T.7.3.38. Metindeki iş ve işlem basamaklarını kavrar.</v>
      </c>
      <c r="K19" s="27"/>
      <c r="L19" s="11"/>
      <c r="M19" s="11"/>
      <c r="N19" s="11"/>
      <c r="O19" s="11"/>
      <c r="P19" s="11"/>
    </row>
    <row r="20">
      <c r="A20" s="18">
        <v>17.0</v>
      </c>
      <c r="B20" s="19" t="str">
        <f>'7. Sınıf Denemeol'!C18</f>
        <v>B</v>
      </c>
      <c r="C20" s="20">
        <f>'7. Sınıf Denemeol'!D18</f>
        <v>7</v>
      </c>
      <c r="D20" s="21" t="str">
        <f t="shared" ref="D20:E20" si="18">#REF!</f>
        <v>#REF!</v>
      </c>
      <c r="E20" s="21" t="str">
        <f t="shared" si="18"/>
        <v>#REF!</v>
      </c>
      <c r="F20" s="22" t="s">
        <v>0</v>
      </c>
      <c r="G20" s="21"/>
      <c r="H20" s="23" t="str">
        <f t="shared" si="3"/>
        <v>T.7.3.29.1.</v>
      </c>
      <c r="I20" s="24" t="str">
        <f t="array" ref="I20">IFERROR(INDEX(A!D:D, MATCH(J20, A!E:E, 0)), "bulunamadı")</f>
        <v>Metin Türleri</v>
      </c>
      <c r="J20" s="25" t="str">
        <f>'7. Sınıf Denemeol'!B18</f>
        <v>T.7.3.29.1. Metin türlerini ayırt eder.</v>
      </c>
      <c r="K20" s="26"/>
      <c r="L20" s="11"/>
      <c r="M20" s="11"/>
      <c r="N20" s="11"/>
      <c r="O20" s="11"/>
      <c r="P20" s="11"/>
    </row>
    <row r="21">
      <c r="A21" s="18">
        <v>18.0</v>
      </c>
      <c r="B21" s="19" t="str">
        <f>'7. Sınıf Denemeol'!C19</f>
        <v>C</v>
      </c>
      <c r="C21" s="20">
        <f>'7. Sınıf Denemeol'!D19</f>
        <v>8</v>
      </c>
      <c r="D21" s="21" t="str">
        <f t="shared" ref="D21:E21" si="19">#REF!</f>
        <v>#REF!</v>
      </c>
      <c r="E21" s="21" t="str">
        <f t="shared" si="19"/>
        <v>#REF!</v>
      </c>
      <c r="F21" s="22" t="s">
        <v>0</v>
      </c>
      <c r="G21" s="21"/>
      <c r="H21" s="23" t="str">
        <f t="shared" si="3"/>
        <v>T.7.3.34.</v>
      </c>
      <c r="I21" s="24" t="str">
        <f t="array" ref="I21">IFERROR(INDEX(A!D:D, MATCH(J21, A!E:E, 0)), "bulunamadı")</f>
        <v>Tablo ve Grafik Okuma</v>
      </c>
      <c r="J21" s="25" t="str">
        <f>'7. Sınıf Denemeol'!B19</f>
        <v>T.7.3.34. Grafik, tablo ve çizelgeyle sunulan bilgileri yorumlar.</v>
      </c>
      <c r="K21" s="26"/>
      <c r="L21" s="11"/>
      <c r="M21" s="11"/>
      <c r="N21" s="11"/>
      <c r="O21" s="11"/>
      <c r="P21" s="11"/>
    </row>
    <row r="22">
      <c r="A22" s="18">
        <v>19.0</v>
      </c>
      <c r="B22" s="19" t="str">
        <f>'7. Sınıf Denemeol'!C20</f>
        <v>A</v>
      </c>
      <c r="C22" s="20">
        <f>'7. Sınıf Denemeol'!D20</f>
        <v>9</v>
      </c>
      <c r="D22" s="21" t="str">
        <f t="shared" ref="D22:E22" si="20">#REF!</f>
        <v>#REF!</v>
      </c>
      <c r="E22" s="21" t="str">
        <f t="shared" si="20"/>
        <v>#REF!</v>
      </c>
      <c r="F22" s="22" t="s">
        <v>0</v>
      </c>
      <c r="G22" s="21"/>
      <c r="H22" s="23" t="str">
        <f t="shared" si="3"/>
        <v>T.7.3.12.1.</v>
      </c>
      <c r="I22" s="24" t="str">
        <f t="array" ref="I22">IFERROR(INDEX(A!D:D, MATCH(J22, A!E:E, 0)), "bulunamadı")</f>
        <v>Fiillerin Anlam Özellikleri</v>
      </c>
      <c r="J22" s="25" t="str">
        <f>'7. Sınıf Denemeol'!B20</f>
        <v>T.7.3.12.1. Fiillerin anlam özelliklerini fark eder.</v>
      </c>
      <c r="K22" s="26"/>
      <c r="L22" s="11"/>
      <c r="M22" s="11"/>
      <c r="N22" s="11"/>
      <c r="O22" s="11"/>
      <c r="P22" s="11"/>
    </row>
    <row r="23">
      <c r="A23" s="18">
        <v>20.0</v>
      </c>
      <c r="B23" s="19" t="str">
        <f>'7. Sınıf Denemeol'!C21</f>
        <v>B</v>
      </c>
      <c r="C23" s="20">
        <f>'7. Sınıf Denemeol'!D21</f>
        <v>10</v>
      </c>
      <c r="D23" s="21" t="str">
        <f t="shared" ref="D23:E23" si="21">#REF!</f>
        <v>#REF!</v>
      </c>
      <c r="E23" s="21" t="str">
        <f t="shared" si="21"/>
        <v>#REF!</v>
      </c>
      <c r="F23" s="22" t="s">
        <v>0</v>
      </c>
      <c r="G23" s="21"/>
      <c r="H23" s="23" t="str">
        <f t="shared" si="3"/>
        <v>T.7.3.12.1.</v>
      </c>
      <c r="I23" s="24" t="str">
        <f t="array" ref="I23">IFERROR(INDEX(A!D:D, MATCH(J23, A!E:E, 0)), "bulunamadı")</f>
        <v>Fiillerin Anlam Özellikleri</v>
      </c>
      <c r="J23" s="25" t="str">
        <f>'7. Sınıf Denemeol'!B21</f>
        <v>T.7.3.12.1. Fiillerin anlam özelliklerini fark eder.</v>
      </c>
      <c r="K23" s="26"/>
      <c r="L23" s="11"/>
      <c r="M23" s="11"/>
      <c r="N23" s="11"/>
      <c r="O23" s="11"/>
      <c r="P23" s="11"/>
    </row>
    <row r="24">
      <c r="A24" s="15" t="s">
        <v>61</v>
      </c>
      <c r="B24" s="16" t="s">
        <v>55</v>
      </c>
      <c r="C24" s="16" t="s">
        <v>3</v>
      </c>
      <c r="D24" s="16" t="s">
        <v>5</v>
      </c>
      <c r="E24" s="16" t="s">
        <v>9</v>
      </c>
      <c r="F24" s="16" t="s">
        <v>62</v>
      </c>
      <c r="G24" s="16" t="s">
        <v>57</v>
      </c>
      <c r="H24" s="16" t="s">
        <v>58</v>
      </c>
      <c r="I24" s="16" t="s">
        <v>59</v>
      </c>
      <c r="J24" s="16" t="s">
        <v>1</v>
      </c>
      <c r="K24" s="16" t="s">
        <v>60</v>
      </c>
      <c r="L24" s="11"/>
      <c r="M24" s="11"/>
      <c r="N24" s="11"/>
      <c r="O24" s="11"/>
      <c r="P24" s="11"/>
    </row>
    <row r="25">
      <c r="A25" s="18">
        <v>1.0</v>
      </c>
      <c r="B25" s="19" t="str">
        <f>'7. Sınıf Denemeol'!C23</f>
        <v>A</v>
      </c>
      <c r="C25" s="20">
        <f>'7. Sınıf Denemeol'!D23</f>
        <v>7</v>
      </c>
      <c r="D25" s="21" t="str">
        <f t="shared" ref="D25:E25" si="22">#REF!</f>
        <v>#REF!</v>
      </c>
      <c r="E25" s="21" t="str">
        <f t="shared" si="22"/>
        <v>#REF!</v>
      </c>
      <c r="F25" s="29" t="s">
        <v>20</v>
      </c>
      <c r="G25" s="21"/>
      <c r="H25" s="23" t="str">
        <f t="shared" ref="H25:H34" si="24">LEFT(J25,FIND(" ",J25)-1)</f>
        <v>SB.7.1.1.</v>
      </c>
      <c r="I25" s="24" t="str">
        <f t="array" ref="I25">IFERROR(INDEX(A!D:D, MATCH(J25, A!E:E, 0)), "bulunamadı")</f>
        <v>İnsandan İnsana Giden Yol</v>
      </c>
      <c r="J25" s="25" t="str">
        <f>'7. Sınıf Denemeol'!B23</f>
        <v>SB.7.1.1. İletişimi etkileyen tutum ve davranışları analiz ederek kendi tutum ve davranışlarını sorgular.</v>
      </c>
      <c r="K25" s="30"/>
      <c r="L25" s="31"/>
      <c r="M25" s="31"/>
      <c r="N25" s="11"/>
      <c r="O25" s="11"/>
      <c r="P25" s="11"/>
    </row>
    <row r="26">
      <c r="A26" s="18">
        <v>2.0</v>
      </c>
      <c r="B26" s="19" t="str">
        <f>'7. Sınıf Denemeol'!C24</f>
        <v>C</v>
      </c>
      <c r="C26" s="20">
        <f>'7. Sınıf Denemeol'!D24</f>
        <v>8</v>
      </c>
      <c r="D26" s="21" t="str">
        <f t="shared" ref="D26:E26" si="23">#REF!</f>
        <v>#REF!</v>
      </c>
      <c r="E26" s="21" t="str">
        <f t="shared" si="23"/>
        <v>#REF!</v>
      </c>
      <c r="F26" s="29" t="s">
        <v>20</v>
      </c>
      <c r="G26" s="21"/>
      <c r="H26" s="23" t="str">
        <f t="shared" si="24"/>
        <v>SB.7.1.2.</v>
      </c>
      <c r="I26" s="24" t="str">
        <f t="array" ref="I26">IFERROR(INDEX(A!D:D, MATCH(J26, A!E:E, 0)), "bulunamadı")</f>
        <v>İletişimin Gücü</v>
      </c>
      <c r="J26" s="25" t="str">
        <f>'7. Sınıf Denemeol'!B24</f>
        <v>SB.7.1.2. Bireysel ve toplumsal ilişkilerde olumlu iletişim yollarını kullanır.</v>
      </c>
      <c r="K26" s="30"/>
      <c r="L26" s="31"/>
      <c r="M26" s="31"/>
      <c r="N26" s="11"/>
      <c r="O26" s="11"/>
      <c r="P26" s="11"/>
    </row>
    <row r="27">
      <c r="A27" s="18">
        <v>3.0</v>
      </c>
      <c r="B27" s="19" t="str">
        <f>'7. Sınıf Denemeol'!C25</f>
        <v>D</v>
      </c>
      <c r="C27" s="20">
        <f>'7. Sınıf Denemeol'!D25</f>
        <v>9</v>
      </c>
      <c r="D27" s="21" t="str">
        <f t="shared" ref="D27:E27" si="25">#REF!</f>
        <v>#REF!</v>
      </c>
      <c r="E27" s="21" t="str">
        <f t="shared" si="25"/>
        <v>#REF!</v>
      </c>
      <c r="F27" s="29" t="s">
        <v>20</v>
      </c>
      <c r="G27" s="21"/>
      <c r="H27" s="23" t="str">
        <f t="shared" si="24"/>
        <v>SB.7.1.3.</v>
      </c>
      <c r="I27" s="24" t="str">
        <f t="array" ref="I27">IFERROR(INDEX(A!D:D, MATCH(J27, A!E:E, 0)), "bulunamadı")</f>
        <v>Hızlı İletişim Güçlü Toplum</v>
      </c>
      <c r="J27" s="25" t="str">
        <f>'7. Sınıf Denemeol'!B25</f>
        <v>SB.7.1.3. Medyanın sosyal değişim ve etkileşimdeki rolünü tartışır.</v>
      </c>
      <c r="K27" s="30"/>
      <c r="L27" s="31"/>
      <c r="M27" s="31"/>
      <c r="N27" s="11"/>
      <c r="O27" s="11"/>
      <c r="P27" s="11"/>
    </row>
    <row r="28">
      <c r="A28" s="18">
        <v>4.0</v>
      </c>
      <c r="B28" s="19" t="str">
        <f>'7. Sınıf Denemeol'!C26</f>
        <v>B</v>
      </c>
      <c r="C28" s="20">
        <f>'7. Sınıf Denemeol'!D26</f>
        <v>10</v>
      </c>
      <c r="D28" s="21" t="str">
        <f t="shared" ref="D28:E28" si="26">#REF!</f>
        <v>#REF!</v>
      </c>
      <c r="E28" s="21" t="str">
        <f t="shared" si="26"/>
        <v>#REF!</v>
      </c>
      <c r="F28" s="29" t="s">
        <v>20</v>
      </c>
      <c r="G28" s="21"/>
      <c r="H28" s="23" t="str">
        <f t="shared" si="24"/>
        <v>SB.7.1.3.</v>
      </c>
      <c r="I28" s="24" t="str">
        <f t="array" ref="I28">IFERROR(INDEX(A!D:D, MATCH(J28, A!E:E, 0)), "bulunamadı")</f>
        <v>Hızlı İletişim Güçlü Toplum</v>
      </c>
      <c r="J28" s="25" t="str">
        <f>'7. Sınıf Denemeol'!B26</f>
        <v>SB.7.1.3. Medyanın sosyal değişim ve etkileşimdeki rolünü tartışır.</v>
      </c>
      <c r="K28" s="30"/>
      <c r="L28" s="31"/>
      <c r="M28" s="31"/>
      <c r="N28" s="11"/>
      <c r="O28" s="11"/>
      <c r="P28" s="11"/>
    </row>
    <row r="29">
      <c r="A29" s="18">
        <v>5.0</v>
      </c>
      <c r="B29" s="19" t="str">
        <f>'7. Sınıf Denemeol'!C27</f>
        <v>A</v>
      </c>
      <c r="C29" s="20">
        <f>'7. Sınıf Denemeol'!D27</f>
        <v>1</v>
      </c>
      <c r="D29" s="21" t="str">
        <f t="shared" ref="D29:E29" si="27">#REF!</f>
        <v>#REF!</v>
      </c>
      <c r="E29" s="21" t="str">
        <f t="shared" si="27"/>
        <v>#REF!</v>
      </c>
      <c r="F29" s="29" t="s">
        <v>20</v>
      </c>
      <c r="G29" s="21"/>
      <c r="H29" s="23" t="str">
        <f t="shared" si="24"/>
        <v>SB.7.1.4.</v>
      </c>
      <c r="I29" s="24" t="str">
        <f t="array" ref="I29">IFERROR(INDEX(A!D:D, MATCH(J29, A!E:E, 0)), "bulunamadı")</f>
        <v>İletişim Özgürlüğü</v>
      </c>
      <c r="J29" s="25" t="str">
        <f>'7. Sınıf Denemeol'!B27</f>
        <v>SB.7.1.4. İletişim araçlarından yararlanırken haklarını kullanır ve sorumluluklarını yerine getirir.</v>
      </c>
      <c r="K29" s="30"/>
      <c r="L29" s="31"/>
      <c r="M29" s="31"/>
      <c r="N29" s="11"/>
      <c r="O29" s="11"/>
      <c r="P29" s="11"/>
    </row>
    <row r="30">
      <c r="A30" s="18">
        <v>6.0</v>
      </c>
      <c r="B30" s="19" t="str">
        <f>'7. Sınıf Denemeol'!C28</f>
        <v>C</v>
      </c>
      <c r="C30" s="20">
        <f>'7. Sınıf Denemeol'!D28</f>
        <v>2</v>
      </c>
      <c r="D30" s="21" t="str">
        <f t="shared" ref="D30:E30" si="28">#REF!</f>
        <v>#REF!</v>
      </c>
      <c r="E30" s="21" t="str">
        <f t="shared" si="28"/>
        <v>#REF!</v>
      </c>
      <c r="F30" s="29" t="s">
        <v>20</v>
      </c>
      <c r="G30" s="21"/>
      <c r="H30" s="23" t="str">
        <f t="shared" si="24"/>
        <v>SB.7.1.4.</v>
      </c>
      <c r="I30" s="24" t="str">
        <f t="array" ref="I30">IFERROR(INDEX(A!D:D, MATCH(J30, A!E:E, 0)), "bulunamadı")</f>
        <v>İletişim Özgürlüğü</v>
      </c>
      <c r="J30" s="25" t="str">
        <f>'7. Sınıf Denemeol'!B28</f>
        <v>SB.7.1.4. İletişim araçlarından yararlanırken haklarını kullanır ve sorumluluklarını yerine getirir.</v>
      </c>
      <c r="K30" s="30"/>
      <c r="L30" s="31"/>
      <c r="M30" s="31"/>
      <c r="N30" s="11"/>
      <c r="O30" s="11"/>
      <c r="P30" s="11"/>
    </row>
    <row r="31">
      <c r="A31" s="18">
        <v>7.0</v>
      </c>
      <c r="B31" s="19" t="str">
        <f>'7. Sınıf Denemeol'!C29</f>
        <v>D</v>
      </c>
      <c r="C31" s="20">
        <f>'7. Sınıf Denemeol'!D29</f>
        <v>3</v>
      </c>
      <c r="D31" s="21" t="str">
        <f t="shared" ref="D31:E31" si="29">#REF!</f>
        <v>#REF!</v>
      </c>
      <c r="E31" s="21" t="str">
        <f t="shared" si="29"/>
        <v>#REF!</v>
      </c>
      <c r="F31" s="29" t="s">
        <v>20</v>
      </c>
      <c r="G31" s="21"/>
      <c r="H31" s="23" t="str">
        <f t="shared" si="24"/>
        <v>SB.7.2.1.</v>
      </c>
      <c r="I31" s="24" t="str">
        <f t="array" ref="I31">IFERROR(INDEX(A!D:D, MATCH(J31, A!E:E, 0)), "bulunamadı")</f>
        <v>Beylikten Cihan Devletine</v>
      </c>
      <c r="J31" s="25" t="str">
        <f>'7. Sınıf Denemeol'!B29</f>
        <v>SB.7.2.1. Osmanlı Devleti'nin siyasi güç olarak ortaya çıkış sürecini ve bu süreci etkileyen faktörleri açıklar.</v>
      </c>
      <c r="K31" s="30"/>
      <c r="L31" s="31"/>
      <c r="M31" s="31"/>
      <c r="N31" s="11"/>
      <c r="O31" s="11"/>
      <c r="P31" s="11"/>
    </row>
    <row r="32">
      <c r="A32" s="18">
        <v>8.0</v>
      </c>
      <c r="B32" s="19" t="str">
        <f>'7. Sınıf Denemeol'!C30</f>
        <v>C</v>
      </c>
      <c r="C32" s="20">
        <f>'7. Sınıf Denemeol'!D30</f>
        <v>4</v>
      </c>
      <c r="D32" s="21" t="str">
        <f t="shared" ref="D32:E32" si="30">#REF!</f>
        <v>#REF!</v>
      </c>
      <c r="E32" s="21" t="str">
        <f t="shared" si="30"/>
        <v>#REF!</v>
      </c>
      <c r="F32" s="29" t="s">
        <v>20</v>
      </c>
      <c r="G32" s="21"/>
      <c r="H32" s="23" t="str">
        <f t="shared" si="24"/>
        <v>SB.7.2.1.</v>
      </c>
      <c r="I32" s="24" t="str">
        <f t="array" ref="I32">IFERROR(INDEX(A!D:D, MATCH(J32, A!E:E, 0)), "bulunamadı")</f>
        <v>Beylikten Cihan Devletine</v>
      </c>
      <c r="J32" s="25" t="str">
        <f>'7. Sınıf Denemeol'!B30</f>
        <v>SB.7.2.1. Osmanlı Devleti'nin siyasi güç olarak ortaya çıkış sürecini ve bu süreci etkileyen faktörleri açıklar.</v>
      </c>
      <c r="K32" s="30"/>
      <c r="L32" s="31"/>
      <c r="M32" s="31"/>
      <c r="N32" s="11"/>
      <c r="O32" s="11"/>
      <c r="P32" s="11"/>
    </row>
    <row r="33">
      <c r="A33" s="18">
        <v>9.0</v>
      </c>
      <c r="B33" s="19" t="str">
        <f>'7. Sınıf Denemeol'!C31</f>
        <v>A</v>
      </c>
      <c r="C33" s="20">
        <f>'7. Sınıf Denemeol'!D31</f>
        <v>5</v>
      </c>
      <c r="D33" s="21" t="str">
        <f t="shared" ref="D33:E33" si="31">#REF!</f>
        <v>#REF!</v>
      </c>
      <c r="E33" s="21" t="str">
        <f t="shared" si="31"/>
        <v>#REF!</v>
      </c>
      <c r="F33" s="29" t="s">
        <v>20</v>
      </c>
      <c r="G33" s="21"/>
      <c r="H33" s="23" t="str">
        <f t="shared" si="24"/>
        <v>SB.7.2.1.</v>
      </c>
      <c r="I33" s="24" t="str">
        <f t="array" ref="I33">IFERROR(INDEX(A!D:D, MATCH(J33, A!E:E, 0)), "bulunamadı")</f>
        <v>Beylikten Cihan Devletine</v>
      </c>
      <c r="J33" s="25" t="str">
        <f>'7. Sınıf Denemeol'!B31</f>
        <v>SB.7.2.1. Osmanlı Devleti'nin siyasi güç olarak ortaya çıkış sürecini ve bu süreci etkileyen faktörleri açıklar.</v>
      </c>
      <c r="K33" s="30"/>
      <c r="L33" s="31"/>
      <c r="M33" s="31"/>
      <c r="N33" s="11"/>
      <c r="O33" s="11"/>
      <c r="P33" s="11"/>
    </row>
    <row r="34">
      <c r="A34" s="18">
        <v>10.0</v>
      </c>
      <c r="B34" s="19" t="str">
        <f>'7. Sınıf Denemeol'!C32</f>
        <v>B</v>
      </c>
      <c r="C34" s="20">
        <f>'7. Sınıf Denemeol'!D32</f>
        <v>6</v>
      </c>
      <c r="D34" s="21" t="str">
        <f t="shared" ref="D34:E34" si="32">#REF!</f>
        <v>#REF!</v>
      </c>
      <c r="E34" s="21" t="str">
        <f t="shared" si="32"/>
        <v>#REF!</v>
      </c>
      <c r="F34" s="29" t="s">
        <v>20</v>
      </c>
      <c r="G34" s="21"/>
      <c r="H34" s="23" t="str">
        <f t="shared" si="24"/>
        <v>SB.7.1.4.</v>
      </c>
      <c r="I34" s="24" t="str">
        <f t="array" ref="I34">IFERROR(INDEX(A!D:D, MATCH(J34, A!E:E, 0)), "bulunamadı")</f>
        <v>İletişim Özgürlüğü</v>
      </c>
      <c r="J34" s="25" t="str">
        <f>'7. Sınıf Denemeol'!B32</f>
        <v>SB.7.1.4. İletişim araçlarından yararlanırken haklarını kullanır ve sorumluluklarını yerine getirir.</v>
      </c>
      <c r="K34" s="30"/>
      <c r="L34" s="31"/>
      <c r="M34" s="31"/>
      <c r="N34" s="11"/>
      <c r="O34" s="11"/>
      <c r="P34" s="11"/>
    </row>
    <row r="35">
      <c r="A35" s="15" t="s">
        <v>63</v>
      </c>
      <c r="B35" s="16" t="s">
        <v>55</v>
      </c>
      <c r="C35" s="16" t="s">
        <v>3</v>
      </c>
      <c r="D35" s="16" t="s">
        <v>5</v>
      </c>
      <c r="E35" s="16" t="s">
        <v>9</v>
      </c>
      <c r="F35" s="16" t="s">
        <v>62</v>
      </c>
      <c r="G35" s="16" t="s">
        <v>57</v>
      </c>
      <c r="H35" s="16" t="s">
        <v>58</v>
      </c>
      <c r="I35" s="16" t="s">
        <v>59</v>
      </c>
      <c r="J35" s="16" t="s">
        <v>1</v>
      </c>
      <c r="K35" s="16" t="s">
        <v>60</v>
      </c>
      <c r="L35" s="11"/>
      <c r="M35" s="11"/>
      <c r="N35" s="11"/>
      <c r="O35" s="11"/>
      <c r="P35" s="11"/>
    </row>
    <row r="36">
      <c r="A36" s="18">
        <v>1.0</v>
      </c>
      <c r="B36" s="19" t="str">
        <f>'7. Sınıf Denemeol'!C34</f>
        <v>A</v>
      </c>
      <c r="C36" s="20">
        <f>'7. Sınıf Denemeol'!D34</f>
        <v>5</v>
      </c>
      <c r="D36" s="21" t="str">
        <f t="shared" ref="D36:E36" si="33">#REF!</f>
        <v>#REF!</v>
      </c>
      <c r="E36" s="21" t="str">
        <f t="shared" si="33"/>
        <v>#REF!</v>
      </c>
      <c r="F36" s="22" t="s">
        <v>63</v>
      </c>
      <c r="G36" s="21"/>
      <c r="H36" s="23" t="str">
        <f t="shared" ref="H36:H45" si="35">LEFT(J36,FIND(" ",J36)-1)</f>
        <v>D.7.1.1.</v>
      </c>
      <c r="I36" s="24" t="str">
        <f t="array" ref="I36">IFERROR(INDEX(A!D:D, MATCH(J36, A!E:E, 0)), "bulunamadı")</f>
        <v>Görülen ve Görülemeyen Varlıklar</v>
      </c>
      <c r="J36" s="25" t="str">
        <f>'7. Sınıf Denemeol'!B34</f>
        <v>D.7.1.1. Varlıklar âlemini özelliklerine göre ayırt eder.</v>
      </c>
      <c r="K36" s="30"/>
      <c r="L36" s="31"/>
      <c r="M36" s="31"/>
      <c r="N36" s="31"/>
      <c r="O36" s="31"/>
      <c r="P36" s="11"/>
    </row>
    <row r="37">
      <c r="A37" s="18">
        <v>2.0</v>
      </c>
      <c r="B37" s="19" t="str">
        <f>'7. Sınıf Denemeol'!C35</f>
        <v>C</v>
      </c>
      <c r="C37" s="20">
        <f>'7. Sınıf Denemeol'!D35</f>
        <v>6</v>
      </c>
      <c r="D37" s="21" t="str">
        <f t="shared" ref="D37:E37" si="34">#REF!</f>
        <v>#REF!</v>
      </c>
      <c r="E37" s="21" t="str">
        <f t="shared" si="34"/>
        <v>#REF!</v>
      </c>
      <c r="F37" s="22" t="s">
        <v>63</v>
      </c>
      <c r="G37" s="21"/>
      <c r="H37" s="23" t="str">
        <f t="shared" si="35"/>
        <v>D.7.1.2.</v>
      </c>
      <c r="I37" s="24" t="str">
        <f t="array" ref="I37">IFERROR(INDEX(A!D:D, MATCH(J37, A!E:E, 0)), "bulunamadı")</f>
        <v>Melekler ve Özellikleri</v>
      </c>
      <c r="J37" s="25" t="str">
        <f>'7. Sınıf Denemeol'!B35</f>
        <v>D.7.1.2. Melekleri özellikleri ve görevlerine göre sınıflandırır.</v>
      </c>
      <c r="K37" s="30"/>
      <c r="L37" s="31"/>
      <c r="M37" s="31"/>
      <c r="N37" s="31"/>
      <c r="O37" s="31"/>
      <c r="P37" s="11"/>
    </row>
    <row r="38">
      <c r="A38" s="18">
        <v>3.0</v>
      </c>
      <c r="B38" s="19" t="str">
        <f>'7. Sınıf Denemeol'!C36</f>
        <v>C</v>
      </c>
      <c r="C38" s="20">
        <f>'7. Sınıf Denemeol'!D36</f>
        <v>7</v>
      </c>
      <c r="D38" s="21" t="str">
        <f t="shared" ref="D38:E38" si="36">#REF!</f>
        <v>#REF!</v>
      </c>
      <c r="E38" s="21" t="str">
        <f t="shared" si="36"/>
        <v>#REF!</v>
      </c>
      <c r="F38" s="22" t="s">
        <v>63</v>
      </c>
      <c r="G38" s="21"/>
      <c r="H38" s="23" t="str">
        <f t="shared" si="35"/>
        <v>D.7.1.2.</v>
      </c>
      <c r="I38" s="24" t="str">
        <f t="array" ref="I38">IFERROR(INDEX(A!D:D, MATCH(J38, A!E:E, 0)), "bulunamadı")</f>
        <v>Melekler ve Özellikleri</v>
      </c>
      <c r="J38" s="25" t="str">
        <f>'7. Sınıf Denemeol'!B36</f>
        <v>D.7.1.2. Melekleri özellikleri ve görevlerine göre sınıflandırır.</v>
      </c>
      <c r="K38" s="30"/>
      <c r="L38" s="31"/>
      <c r="M38" s="31"/>
      <c r="N38" s="31"/>
      <c r="O38" s="31"/>
      <c r="P38" s="11"/>
    </row>
    <row r="39">
      <c r="A39" s="18">
        <v>4.0</v>
      </c>
      <c r="B39" s="19" t="str">
        <f>'7. Sınıf Denemeol'!C37</f>
        <v>B</v>
      </c>
      <c r="C39" s="20">
        <f>'7. Sınıf Denemeol'!D37</f>
        <v>8</v>
      </c>
      <c r="D39" s="21" t="str">
        <f t="shared" ref="D39:E39" si="37">#REF!</f>
        <v>#REF!</v>
      </c>
      <c r="E39" s="21" t="str">
        <f t="shared" si="37"/>
        <v>#REF!</v>
      </c>
      <c r="F39" s="22" t="s">
        <v>63</v>
      </c>
      <c r="G39" s="21"/>
      <c r="H39" s="23" t="str">
        <f t="shared" si="35"/>
        <v>D.7.1.2.</v>
      </c>
      <c r="I39" s="24" t="str">
        <f t="array" ref="I39">IFERROR(INDEX(A!D:D, MATCH(J39, A!E:E, 0)), "bulunamadı")</f>
        <v>Melekler ve Özellikleri</v>
      </c>
      <c r="J39" s="25" t="str">
        <f>'7. Sınıf Denemeol'!B37</f>
        <v>D.7.1.2. Melekleri özellikleri ve görevlerine göre sınıflandırır.</v>
      </c>
      <c r="K39" s="30"/>
      <c r="L39" s="31"/>
      <c r="M39" s="31"/>
      <c r="N39" s="31"/>
      <c r="O39" s="31"/>
      <c r="P39" s="11"/>
    </row>
    <row r="40">
      <c r="A40" s="18">
        <v>5.0</v>
      </c>
      <c r="B40" s="19" t="str">
        <f>'7. Sınıf Denemeol'!C38</f>
        <v>D</v>
      </c>
      <c r="C40" s="20">
        <f>'7. Sınıf Denemeol'!D38</f>
        <v>9</v>
      </c>
      <c r="D40" s="21" t="str">
        <f t="shared" ref="D40:E40" si="38">#REF!</f>
        <v>#REF!</v>
      </c>
      <c r="E40" s="21" t="str">
        <f t="shared" si="38"/>
        <v>#REF!</v>
      </c>
      <c r="F40" s="22" t="s">
        <v>63</v>
      </c>
      <c r="G40" s="21"/>
      <c r="H40" s="23" t="str">
        <f t="shared" si="35"/>
        <v>D.7.1.2.</v>
      </c>
      <c r="I40" s="24" t="str">
        <f t="array" ref="I40">IFERROR(INDEX(A!D:D, MATCH(J40, A!E:E, 0)), "bulunamadı")</f>
        <v>Melekler ve Özellikleri</v>
      </c>
      <c r="J40" s="25" t="str">
        <f>'7. Sınıf Denemeol'!B38</f>
        <v>D.7.1.2. Melekleri özellikleri ve görevlerine göre sınıflandırır.</v>
      </c>
      <c r="K40" s="30"/>
      <c r="L40" s="31"/>
      <c r="M40" s="31"/>
      <c r="N40" s="31"/>
      <c r="O40" s="31"/>
      <c r="P40" s="11"/>
    </row>
    <row r="41">
      <c r="A41" s="18">
        <v>6.0</v>
      </c>
      <c r="B41" s="19" t="str">
        <f>'7. Sınıf Denemeol'!C39</f>
        <v>D</v>
      </c>
      <c r="C41" s="20">
        <f>'7. Sınıf Denemeol'!D39</f>
        <v>10</v>
      </c>
      <c r="D41" s="21" t="str">
        <f t="shared" ref="D41:E41" si="39">#REF!</f>
        <v>#REF!</v>
      </c>
      <c r="E41" s="21" t="str">
        <f t="shared" si="39"/>
        <v>#REF!</v>
      </c>
      <c r="F41" s="22" t="s">
        <v>63</v>
      </c>
      <c r="G41" s="21"/>
      <c r="H41" s="23" t="str">
        <f t="shared" si="35"/>
        <v>D.7.1.2.</v>
      </c>
      <c r="I41" s="24" t="str">
        <f t="array" ref="I41">IFERROR(INDEX(A!D:D, MATCH(J41, A!E:E, 0)), "bulunamadı")</f>
        <v>Melekler ve Özellikleri</v>
      </c>
      <c r="J41" s="25" t="str">
        <f>'7. Sınıf Denemeol'!B39</f>
        <v>D.7.1.2. Melekleri özellikleri ve görevlerine göre sınıflandırır.</v>
      </c>
      <c r="K41" s="30"/>
      <c r="L41" s="31"/>
      <c r="M41" s="31"/>
      <c r="N41" s="31"/>
      <c r="O41" s="31"/>
      <c r="P41" s="11"/>
    </row>
    <row r="42">
      <c r="A42" s="18">
        <v>7.0</v>
      </c>
      <c r="B42" s="19" t="str">
        <f>'7. Sınıf Denemeol'!C40</f>
        <v>B</v>
      </c>
      <c r="C42" s="20">
        <f>'7. Sınıf Denemeol'!D40</f>
        <v>1</v>
      </c>
      <c r="D42" s="21" t="str">
        <f t="shared" ref="D42:E42" si="40">#REF!</f>
        <v>#REF!</v>
      </c>
      <c r="E42" s="21" t="str">
        <f t="shared" si="40"/>
        <v>#REF!</v>
      </c>
      <c r="F42" s="22" t="s">
        <v>63</v>
      </c>
      <c r="G42" s="21"/>
      <c r="H42" s="23" t="str">
        <f t="shared" si="35"/>
        <v>D.7.1.4.</v>
      </c>
      <c r="I42" s="24" t="str">
        <f t="array" ref="I42">IFERROR(INDEX(A!D:D, MATCH(J42, A!E:E, 0)), "bulunamadı")</f>
        <v>Ahiret Hayatının Aşamaları</v>
      </c>
      <c r="J42" s="25" t="str">
        <f>'7. Sınıf Denemeol'!B40</f>
        <v>D.7.1.4. Ahiret hayatının aşamalarını açıklar.</v>
      </c>
      <c r="K42" s="30"/>
      <c r="L42" s="31"/>
      <c r="M42" s="31"/>
      <c r="N42" s="31"/>
      <c r="O42" s="31"/>
      <c r="P42" s="11"/>
    </row>
    <row r="43">
      <c r="A43" s="18">
        <v>8.0</v>
      </c>
      <c r="B43" s="19" t="str">
        <f>'7. Sınıf Denemeol'!C41</f>
        <v>C</v>
      </c>
      <c r="C43" s="20">
        <f>'7. Sınıf Denemeol'!D41</f>
        <v>2</v>
      </c>
      <c r="D43" s="21" t="str">
        <f t="shared" ref="D43:E43" si="41">#REF!</f>
        <v>#REF!</v>
      </c>
      <c r="E43" s="21" t="str">
        <f t="shared" si="41"/>
        <v>#REF!</v>
      </c>
      <c r="F43" s="22" t="s">
        <v>63</v>
      </c>
      <c r="G43" s="21"/>
      <c r="H43" s="23" t="str">
        <f t="shared" si="35"/>
        <v>D.7.1.3.</v>
      </c>
      <c r="I43" s="24" t="str">
        <f t="array" ref="I43">IFERROR(INDEX(A!D:D, MATCH(J43, A!E:E, 0)), "bulunamadı")</f>
        <v>Dünya ve Ahiret Hayatı</v>
      </c>
      <c r="J43" s="25" t="str">
        <f>'7. Sınıf Denemeol'!B41</f>
        <v>D.7.1.3. Dünya hayatı ile ahiret hayatı arasındaki ilişkiyi yorumlar.</v>
      </c>
      <c r="K43" s="30"/>
      <c r="L43" s="31"/>
      <c r="M43" s="31"/>
      <c r="N43" s="31"/>
      <c r="O43" s="31"/>
      <c r="P43" s="11"/>
    </row>
    <row r="44">
      <c r="A44" s="18">
        <v>9.0</v>
      </c>
      <c r="B44" s="19" t="str">
        <f>'7. Sınıf Denemeol'!C42</f>
        <v>B</v>
      </c>
      <c r="C44" s="20">
        <f>'7. Sınıf Denemeol'!D42</f>
        <v>3</v>
      </c>
      <c r="D44" s="21" t="str">
        <f t="shared" ref="D44:E44" si="42">#REF!</f>
        <v>#REF!</v>
      </c>
      <c r="E44" s="21" t="str">
        <f t="shared" si="42"/>
        <v>#REF!</v>
      </c>
      <c r="F44" s="22" t="s">
        <v>63</v>
      </c>
      <c r="G44" s="21"/>
      <c r="H44" s="23" t="str">
        <f t="shared" si="35"/>
        <v>D.7.1.5.</v>
      </c>
      <c r="I44" s="24" t="str">
        <f t="array" ref="I44">IFERROR(INDEX(A!D:D, MATCH(J44, A!E:E, 0)), "bulunamadı")</f>
        <v>Ahiret İnancının İnsan Davranışlarına Etkisi</v>
      </c>
      <c r="J44" s="25" t="str">
        <f>'7. Sınıf Denemeol'!B42</f>
        <v>D.7.1.5. Allah'ın (c.c.) adil, merhametli ve affedici olması ile ahiret inancı arasında ilişki kurar.</v>
      </c>
      <c r="K44" s="30"/>
      <c r="L44" s="31"/>
      <c r="M44" s="31"/>
      <c r="N44" s="31"/>
      <c r="O44" s="31"/>
      <c r="P44" s="11"/>
    </row>
    <row r="45">
      <c r="A45" s="18">
        <v>10.0</v>
      </c>
      <c r="B45" s="19" t="str">
        <f>'7. Sınıf Denemeol'!C43</f>
        <v>A</v>
      </c>
      <c r="C45" s="20">
        <f>'7. Sınıf Denemeol'!D43</f>
        <v>4</v>
      </c>
      <c r="D45" s="21" t="str">
        <f t="shared" ref="D45:E45" si="43">#REF!</f>
        <v>#REF!</v>
      </c>
      <c r="E45" s="21" t="str">
        <f t="shared" si="43"/>
        <v>#REF!</v>
      </c>
      <c r="F45" s="22" t="s">
        <v>63</v>
      </c>
      <c r="G45" s="21"/>
      <c r="H45" s="23" t="str">
        <f t="shared" si="35"/>
        <v>D.7.1.4.</v>
      </c>
      <c r="I45" s="24" t="str">
        <f t="array" ref="I45">IFERROR(INDEX(A!D:D, MATCH(J45, A!E:E, 0)), "bulunamadı")</f>
        <v>Ahiret Hayatının Aşamaları</v>
      </c>
      <c r="J45" s="25" t="str">
        <f>'7. Sınıf Denemeol'!B43</f>
        <v>D.7.1.4. Ahiret hayatının aşamalarını açıklar.</v>
      </c>
      <c r="K45" s="30"/>
      <c r="L45" s="31"/>
      <c r="M45" s="31"/>
      <c r="N45" s="31"/>
      <c r="O45" s="31"/>
      <c r="P45" s="11"/>
    </row>
    <row r="46">
      <c r="A46" s="15" t="s">
        <v>32</v>
      </c>
      <c r="B46" s="16" t="s">
        <v>55</v>
      </c>
      <c r="C46" s="16" t="s">
        <v>3</v>
      </c>
      <c r="D46" s="16" t="s">
        <v>5</v>
      </c>
      <c r="E46" s="16" t="s">
        <v>9</v>
      </c>
      <c r="F46" s="16" t="s">
        <v>62</v>
      </c>
      <c r="G46" s="16" t="s">
        <v>57</v>
      </c>
      <c r="H46" s="16" t="s">
        <v>58</v>
      </c>
      <c r="I46" s="16" t="s">
        <v>59</v>
      </c>
      <c r="J46" s="16" t="s">
        <v>1</v>
      </c>
      <c r="K46" s="16" t="s">
        <v>60</v>
      </c>
      <c r="L46" s="11"/>
      <c r="M46" s="11"/>
      <c r="N46" s="11"/>
      <c r="O46" s="11"/>
      <c r="P46" s="11"/>
    </row>
    <row r="47">
      <c r="A47" s="18">
        <v>1.0</v>
      </c>
      <c r="B47" s="20" t="str">
        <f>'7. Sınıf Denemeol'!C45</f>
        <v>A</v>
      </c>
      <c r="C47" s="20">
        <f>'7. Sınıf Denemeol'!D45</f>
        <v>7</v>
      </c>
      <c r="D47" s="21" t="str">
        <f t="shared" ref="D47:E47" si="44">#REF!</f>
        <v>#REF!</v>
      </c>
      <c r="E47" s="21" t="str">
        <f t="shared" si="44"/>
        <v>#REF!</v>
      </c>
      <c r="F47" s="22" t="s">
        <v>32</v>
      </c>
      <c r="G47" s="21"/>
      <c r="H47" s="23" t="str">
        <f t="shared" ref="H47:H56" si="46">LEFT(J47,FIND(" ",J47)-1)</f>
        <v>E.7.1.1.</v>
      </c>
      <c r="I47" s="24" t="str">
        <f t="array" ref="I47">IFERROR(INDEX(A!D:D, MATCH(J47, A!E:E, 0)), "bulunamadı")</f>
        <v>Appearance And Personality</v>
      </c>
      <c r="J47" s="32" t="str">
        <f>'7. Sınıf Denemeol'!B45</f>
        <v>E.7.1.1. Describing characters/people (Making simple inquiries)</v>
      </c>
      <c r="K47" s="30"/>
      <c r="L47" s="31"/>
      <c r="M47" s="31"/>
      <c r="N47" s="31"/>
      <c r="O47" s="31"/>
      <c r="P47" s="31"/>
    </row>
    <row r="48">
      <c r="A48" s="18">
        <v>2.0</v>
      </c>
      <c r="B48" s="20" t="str">
        <f>'7. Sınıf Denemeol'!C46</f>
        <v>A</v>
      </c>
      <c r="C48" s="20">
        <f>'7. Sınıf Denemeol'!D46</f>
        <v>8</v>
      </c>
      <c r="D48" s="21" t="str">
        <f t="shared" ref="D48:E48" si="45">#REF!</f>
        <v>#REF!</v>
      </c>
      <c r="E48" s="21" t="str">
        <f t="shared" si="45"/>
        <v>#REF!</v>
      </c>
      <c r="F48" s="22" t="s">
        <v>32</v>
      </c>
      <c r="G48" s="21"/>
      <c r="H48" s="23" t="str">
        <f t="shared" si="46"/>
        <v>E.7.1.1.</v>
      </c>
      <c r="I48" s="24" t="str">
        <f t="array" ref="I48">IFERROR(INDEX(A!D:D, MATCH(J48, A!E:E, 0)), "bulunamadı")</f>
        <v>Appearance And Personality</v>
      </c>
      <c r="J48" s="32" t="str">
        <f>'7. Sınıf Denemeol'!B46</f>
        <v>E.7.1.1. Describing characters/people (Making simple inquiries)</v>
      </c>
      <c r="K48" s="30"/>
      <c r="L48" s="31"/>
      <c r="M48" s="31"/>
      <c r="N48" s="31"/>
      <c r="O48" s="31"/>
      <c r="P48" s="31"/>
    </row>
    <row r="49">
      <c r="A49" s="18">
        <v>3.0</v>
      </c>
      <c r="B49" s="20" t="str">
        <f>'7. Sınıf Denemeol'!C47</f>
        <v>D</v>
      </c>
      <c r="C49" s="20">
        <f>'7. Sınıf Denemeol'!D47</f>
        <v>9</v>
      </c>
      <c r="D49" s="21" t="str">
        <f t="shared" ref="D49:E49" si="47">#REF!</f>
        <v>#REF!</v>
      </c>
      <c r="E49" s="21" t="str">
        <f t="shared" si="47"/>
        <v>#REF!</v>
      </c>
      <c r="F49" s="22" t="s">
        <v>32</v>
      </c>
      <c r="G49" s="21"/>
      <c r="H49" s="23" t="str">
        <f t="shared" si="46"/>
        <v>E.7.1.1.</v>
      </c>
      <c r="I49" s="24" t="str">
        <f t="array" ref="I49">IFERROR(INDEX(A!D:D, MATCH(J49, A!E:E, 0)), "bulunamadı")</f>
        <v>Appearance And Personality</v>
      </c>
      <c r="J49" s="32" t="str">
        <f>'7. Sınıf Denemeol'!B47</f>
        <v>E.7.1.1. Describing characters/people (Making simple inquiries)</v>
      </c>
      <c r="K49" s="30"/>
      <c r="L49" s="31"/>
      <c r="M49" s="31"/>
      <c r="N49" s="31"/>
      <c r="O49" s="31"/>
      <c r="P49" s="31"/>
    </row>
    <row r="50">
      <c r="A50" s="18">
        <v>4.0</v>
      </c>
      <c r="B50" s="20" t="str">
        <f>'7. Sınıf Denemeol'!C48</f>
        <v>D</v>
      </c>
      <c r="C50" s="20">
        <f>'7. Sınıf Denemeol'!D48</f>
        <v>10</v>
      </c>
      <c r="D50" s="21" t="str">
        <f t="shared" ref="D50:E50" si="48">#REF!</f>
        <v>#REF!</v>
      </c>
      <c r="E50" s="21" t="str">
        <f t="shared" si="48"/>
        <v>#REF!</v>
      </c>
      <c r="F50" s="22" t="s">
        <v>32</v>
      </c>
      <c r="G50" s="21"/>
      <c r="H50" s="23" t="str">
        <f t="shared" si="46"/>
        <v>E.7.1.2.</v>
      </c>
      <c r="I50" s="24" t="str">
        <f t="array" ref="I50">IFERROR(INDEX(A!D:D, MATCH(J50, A!E:E, 0)), "bulunamadı")</f>
        <v>Appearance And Personality</v>
      </c>
      <c r="J50" s="32" t="str">
        <f>'7. Sınıf Denemeol'!B48</f>
        <v>E.7.1.2. Making simple comparisons (Giving explanations/reasons)</v>
      </c>
      <c r="K50" s="30"/>
      <c r="L50" s="31"/>
      <c r="M50" s="31"/>
      <c r="N50" s="31"/>
      <c r="O50" s="31"/>
      <c r="P50" s="31"/>
    </row>
    <row r="51">
      <c r="A51" s="18">
        <v>5.0</v>
      </c>
      <c r="B51" s="20" t="str">
        <f>'7. Sınıf Denemeol'!C49</f>
        <v>B</v>
      </c>
      <c r="C51" s="20">
        <f>'7. Sınıf Denemeol'!D49</f>
        <v>1</v>
      </c>
      <c r="D51" s="21" t="str">
        <f t="shared" ref="D51:E51" si="49">#REF!</f>
        <v>#REF!</v>
      </c>
      <c r="E51" s="21" t="str">
        <f t="shared" si="49"/>
        <v>#REF!</v>
      </c>
      <c r="F51" s="22" t="s">
        <v>32</v>
      </c>
      <c r="G51" s="21"/>
      <c r="H51" s="23" t="str">
        <f t="shared" si="46"/>
        <v>E.7.1.1.</v>
      </c>
      <c r="I51" s="24" t="str">
        <f t="array" ref="I51">IFERROR(INDEX(A!D:D, MATCH(J51, A!E:E, 0)), "bulunamadı")</f>
        <v>Appearance And Personality</v>
      </c>
      <c r="J51" s="32" t="str">
        <f>'7. Sınıf Denemeol'!B49</f>
        <v>E.7.1.1. Describing characters/people (Making simple inquiries)</v>
      </c>
      <c r="K51" s="30"/>
      <c r="L51" s="31"/>
      <c r="M51" s="31"/>
      <c r="N51" s="31"/>
      <c r="O51" s="31"/>
      <c r="P51" s="31"/>
    </row>
    <row r="52">
      <c r="A52" s="18">
        <v>6.0</v>
      </c>
      <c r="B52" s="20" t="str">
        <f>'7. Sınıf Denemeol'!C50</f>
        <v>C</v>
      </c>
      <c r="C52" s="20">
        <f>'7. Sınıf Denemeol'!D50</f>
        <v>2</v>
      </c>
      <c r="D52" s="21" t="str">
        <f t="shared" ref="D52:E52" si="50">#REF!</f>
        <v>#REF!</v>
      </c>
      <c r="E52" s="21" t="str">
        <f t="shared" si="50"/>
        <v>#REF!</v>
      </c>
      <c r="F52" s="22" t="s">
        <v>32</v>
      </c>
      <c r="G52" s="21"/>
      <c r="H52" s="23" t="str">
        <f t="shared" si="46"/>
        <v>E.7.1.1.</v>
      </c>
      <c r="I52" s="24" t="str">
        <f t="array" ref="I52">IFERROR(INDEX(A!D:D, MATCH(J52, A!E:E, 0)), "bulunamadı")</f>
        <v>Appearance And Personality</v>
      </c>
      <c r="J52" s="32" t="str">
        <f>'7. Sınıf Denemeol'!B50</f>
        <v>E.7.1.1. Describing characters/people (Making simple inquiries)</v>
      </c>
      <c r="K52" s="30"/>
      <c r="L52" s="31"/>
      <c r="M52" s="31"/>
      <c r="N52" s="31"/>
      <c r="O52" s="31"/>
      <c r="P52" s="31"/>
    </row>
    <row r="53">
      <c r="A53" s="18">
        <v>7.0</v>
      </c>
      <c r="B53" s="20" t="str">
        <f>'7. Sınıf Denemeol'!C51</f>
        <v>A</v>
      </c>
      <c r="C53" s="20">
        <f>'7. Sınıf Denemeol'!D51</f>
        <v>3</v>
      </c>
      <c r="D53" s="21" t="str">
        <f t="shared" ref="D53:E53" si="51">#REF!</f>
        <v>#REF!</v>
      </c>
      <c r="E53" s="21" t="str">
        <f t="shared" si="51"/>
        <v>#REF!</v>
      </c>
      <c r="F53" s="22" t="s">
        <v>32</v>
      </c>
      <c r="G53" s="21"/>
      <c r="H53" s="23" t="str">
        <f t="shared" si="46"/>
        <v>E.7.1.2.</v>
      </c>
      <c r="I53" s="24" t="str">
        <f t="array" ref="I53">IFERROR(INDEX(A!D:D, MATCH(J53, A!E:E, 0)), "bulunamadı")</f>
        <v>Appearance And Personality</v>
      </c>
      <c r="J53" s="32" t="str">
        <f>'7. Sınıf Denemeol'!B51</f>
        <v>E.7.1.2. Making simple comparisons (Giving explanations/reasons)</v>
      </c>
      <c r="K53" s="30"/>
      <c r="L53" s="31"/>
      <c r="M53" s="31"/>
      <c r="N53" s="31"/>
      <c r="O53" s="31"/>
      <c r="P53" s="31"/>
    </row>
    <row r="54">
      <c r="A54" s="18">
        <v>8.0</v>
      </c>
      <c r="B54" s="20" t="str">
        <f>'7. Sınıf Denemeol'!C52</f>
        <v>B</v>
      </c>
      <c r="C54" s="20">
        <f>'7. Sınıf Denemeol'!D52</f>
        <v>4</v>
      </c>
      <c r="D54" s="21" t="str">
        <f t="shared" ref="D54:E54" si="52">#REF!</f>
        <v>#REF!</v>
      </c>
      <c r="E54" s="21" t="str">
        <f t="shared" si="52"/>
        <v>#REF!</v>
      </c>
      <c r="F54" s="22" t="s">
        <v>32</v>
      </c>
      <c r="G54" s="21"/>
      <c r="H54" s="23" t="str">
        <f t="shared" si="46"/>
        <v>E.7.1.1.</v>
      </c>
      <c r="I54" s="24" t="str">
        <f t="array" ref="I54">IFERROR(INDEX(A!D:D, MATCH(J54, A!E:E, 0)), "bulunamadı")</f>
        <v>Appearance And Personality</v>
      </c>
      <c r="J54" s="32" t="str">
        <f>'7. Sınıf Denemeol'!B52</f>
        <v>E.7.1.1. Describing characters/people (Making simple inquiries)</v>
      </c>
      <c r="K54" s="30"/>
      <c r="L54" s="31"/>
      <c r="M54" s="31"/>
      <c r="N54" s="31"/>
      <c r="O54" s="31"/>
      <c r="P54" s="31"/>
    </row>
    <row r="55">
      <c r="A55" s="18">
        <v>9.0</v>
      </c>
      <c r="B55" s="20" t="str">
        <f>'7. Sınıf Denemeol'!C53</f>
        <v>B</v>
      </c>
      <c r="C55" s="20">
        <f>'7. Sınıf Denemeol'!D53</f>
        <v>5</v>
      </c>
      <c r="D55" s="21" t="str">
        <f t="shared" ref="D55:E55" si="53">#REF!</f>
        <v>#REF!</v>
      </c>
      <c r="E55" s="21" t="str">
        <f t="shared" si="53"/>
        <v>#REF!</v>
      </c>
      <c r="F55" s="22" t="s">
        <v>32</v>
      </c>
      <c r="G55" s="21"/>
      <c r="H55" s="23" t="str">
        <f t="shared" si="46"/>
        <v>E.7.1.2.</v>
      </c>
      <c r="I55" s="24" t="str">
        <f t="array" ref="I55">IFERROR(INDEX(A!D:D, MATCH(J55, A!E:E, 0)), "bulunamadı")</f>
        <v>Appearance And Personality</v>
      </c>
      <c r="J55" s="32" t="str">
        <f>'7. Sınıf Denemeol'!B53</f>
        <v>E.7.1.2. Making simple comparisons (Giving explanations/reasons)</v>
      </c>
      <c r="K55" s="30"/>
      <c r="L55" s="31"/>
      <c r="M55" s="31"/>
      <c r="N55" s="31"/>
      <c r="O55" s="31"/>
      <c r="P55" s="31"/>
    </row>
    <row r="56">
      <c r="A56" s="18">
        <v>10.0</v>
      </c>
      <c r="B56" s="20" t="str">
        <f>'7. Sınıf Denemeol'!C54</f>
        <v>C</v>
      </c>
      <c r="C56" s="20">
        <f>'7. Sınıf Denemeol'!D54</f>
        <v>6</v>
      </c>
      <c r="D56" s="21" t="str">
        <f t="shared" ref="D56:E56" si="54">#REF!</f>
        <v>#REF!</v>
      </c>
      <c r="E56" s="21" t="str">
        <f t="shared" si="54"/>
        <v>#REF!</v>
      </c>
      <c r="F56" s="22" t="s">
        <v>32</v>
      </c>
      <c r="G56" s="21"/>
      <c r="H56" s="23" t="str">
        <f t="shared" si="46"/>
        <v>E.7.1.1.</v>
      </c>
      <c r="I56" s="24" t="str">
        <f t="array" ref="I56">IFERROR(INDEX(A!D:D, MATCH(J56, A!E:E, 0)), "bulunamadı")</f>
        <v>Appearance And Personality</v>
      </c>
      <c r="J56" s="32" t="str">
        <f>'7. Sınıf Denemeol'!B54</f>
        <v>E.7.1.1. Describing characters/people (Making simple inquiries)</v>
      </c>
      <c r="K56" s="30"/>
      <c r="L56" s="31"/>
      <c r="M56" s="31"/>
      <c r="N56" s="31"/>
      <c r="O56" s="31"/>
      <c r="P56" s="31"/>
    </row>
    <row r="57">
      <c r="A57" s="15" t="s">
        <v>35</v>
      </c>
      <c r="B57" s="16" t="s">
        <v>55</v>
      </c>
      <c r="C57" s="16" t="s">
        <v>3</v>
      </c>
      <c r="D57" s="16" t="s">
        <v>5</v>
      </c>
      <c r="E57" s="16" t="s">
        <v>9</v>
      </c>
      <c r="F57" s="16" t="s">
        <v>62</v>
      </c>
      <c r="G57" s="16" t="s">
        <v>57</v>
      </c>
      <c r="H57" s="16" t="s">
        <v>58</v>
      </c>
      <c r="I57" s="16" t="s">
        <v>59</v>
      </c>
      <c r="J57" s="16" t="s">
        <v>1</v>
      </c>
      <c r="K57" s="16" t="s">
        <v>60</v>
      </c>
      <c r="L57" s="11"/>
      <c r="M57" s="11"/>
      <c r="N57" s="11"/>
      <c r="O57" s="11"/>
      <c r="P57" s="11"/>
    </row>
    <row r="58">
      <c r="A58" s="18">
        <v>1.0</v>
      </c>
      <c r="B58" s="20" t="str">
        <f>'7. Sınıf Denemeol'!C56</f>
        <v>A</v>
      </c>
      <c r="C58" s="20">
        <f>'7. Sınıf Denemeol'!D56</f>
        <v>12</v>
      </c>
      <c r="D58" s="21" t="str">
        <f t="shared" ref="D58:E58" si="55">#REF!</f>
        <v>#REF!</v>
      </c>
      <c r="E58" s="21" t="str">
        <f t="shared" si="55"/>
        <v>#REF!</v>
      </c>
      <c r="F58" s="22" t="s">
        <v>35</v>
      </c>
      <c r="G58" s="21"/>
      <c r="H58" s="23" t="str">
        <f t="shared" ref="H58:H77" si="57">LEFT(J58,FIND(" ",J58)-1)</f>
        <v>M.7.1.1.1.</v>
      </c>
      <c r="I58" s="24" t="str">
        <f t="array" ref="I58">IFERROR(INDEX(A!D:D, MATCH(J58, A!E:E, 0)), "bulunamadı")</f>
        <v>Tam Sayılarla İşlemler</v>
      </c>
      <c r="J58" s="33" t="str">
        <f>'7. Sınıf Denemeol'!B56</f>
        <v>M.7.1.1.1. Tam sayılarla toplama ve çıkarma işlemlerini yapar, İlgili problemleri çözer.</v>
      </c>
      <c r="K58" s="30"/>
      <c r="L58" s="11"/>
      <c r="M58" s="11"/>
      <c r="N58" s="11"/>
      <c r="O58" s="11"/>
      <c r="P58" s="11"/>
    </row>
    <row r="59">
      <c r="A59" s="18">
        <v>2.0</v>
      </c>
      <c r="B59" s="20" t="str">
        <f>'7. Sınıf Denemeol'!C57</f>
        <v>C</v>
      </c>
      <c r="C59" s="20">
        <f>'7. Sınıf Denemeol'!D57</f>
        <v>13</v>
      </c>
      <c r="D59" s="21" t="str">
        <f t="shared" ref="D59:E59" si="56">#REF!</f>
        <v>#REF!</v>
      </c>
      <c r="E59" s="21" t="str">
        <f t="shared" si="56"/>
        <v>#REF!</v>
      </c>
      <c r="F59" s="22" t="s">
        <v>35</v>
      </c>
      <c r="G59" s="21"/>
      <c r="H59" s="23" t="str">
        <f t="shared" si="57"/>
        <v>M.7.1.1.2.</v>
      </c>
      <c r="I59" s="24" t="str">
        <f t="array" ref="I59">IFERROR(INDEX(A!D:D, MATCH(J59, A!E:E, 0)), "bulunamadı")</f>
        <v>Tam Sayılarla İşlemler</v>
      </c>
      <c r="J59" s="33" t="str">
        <f>'7. Sınıf Denemeol'!B57</f>
        <v>M.7.1.1.2. Toplama işleminin özelliklerini akıcı işlem yapmak için birer strateji olarak kullanır.</v>
      </c>
      <c r="K59" s="30"/>
      <c r="L59" s="11"/>
      <c r="M59" s="11"/>
      <c r="N59" s="11"/>
      <c r="O59" s="11"/>
      <c r="P59" s="11"/>
    </row>
    <row r="60">
      <c r="A60" s="18">
        <v>3.0</v>
      </c>
      <c r="B60" s="20" t="str">
        <f>'7. Sınıf Denemeol'!C58</f>
        <v>D</v>
      </c>
      <c r="C60" s="20">
        <f>'7. Sınıf Denemeol'!D58</f>
        <v>14</v>
      </c>
      <c r="D60" s="21" t="str">
        <f t="shared" ref="D60:E60" si="58">#REF!</f>
        <v>#REF!</v>
      </c>
      <c r="E60" s="21" t="str">
        <f t="shared" si="58"/>
        <v>#REF!</v>
      </c>
      <c r="F60" s="22" t="s">
        <v>35</v>
      </c>
      <c r="G60" s="21"/>
      <c r="H60" s="23" t="str">
        <f t="shared" si="57"/>
        <v>M.7.1.1.1.</v>
      </c>
      <c r="I60" s="24" t="str">
        <f t="array" ref="I60">IFERROR(INDEX(A!D:D, MATCH(J60, A!E:E, 0)), "bulunamadı")</f>
        <v>Tam Sayılarla İşlemler</v>
      </c>
      <c r="J60" s="33" t="str">
        <f>'7. Sınıf Denemeol'!B58</f>
        <v>M.7.1.1.1. Tam sayılarla toplama ve çıkarma işlemlerini yapar, İlgili problemleri çözer.</v>
      </c>
      <c r="K60" s="30"/>
      <c r="L60" s="11"/>
      <c r="M60" s="11"/>
      <c r="N60" s="11"/>
      <c r="O60" s="11"/>
      <c r="P60" s="11"/>
    </row>
    <row r="61">
      <c r="A61" s="18">
        <v>4.0</v>
      </c>
      <c r="B61" s="20" t="str">
        <f>'7. Sınıf Denemeol'!C59</f>
        <v>C</v>
      </c>
      <c r="C61" s="20">
        <f>'7. Sınıf Denemeol'!D59</f>
        <v>15</v>
      </c>
      <c r="D61" s="21" t="str">
        <f t="shared" ref="D61:E61" si="59">#REF!</f>
        <v>#REF!</v>
      </c>
      <c r="E61" s="21" t="str">
        <f t="shared" si="59"/>
        <v>#REF!</v>
      </c>
      <c r="F61" s="22" t="s">
        <v>35</v>
      </c>
      <c r="G61" s="21"/>
      <c r="H61" s="23" t="str">
        <f t="shared" si="57"/>
        <v>M.7.1.1.3.</v>
      </c>
      <c r="I61" s="24" t="str">
        <f t="array" ref="I61">IFERROR(INDEX(A!D:D, MATCH(J61, A!E:E, 0)), "bulunamadı")</f>
        <v>Tam Sayılarla İşlemler</v>
      </c>
      <c r="J61" s="33" t="str">
        <f>'7. Sınıf Denemeol'!B59</f>
        <v>M.7.1.1.3. Tam sayılarla çarpma ve bölme işlemlerini yapar.</v>
      </c>
      <c r="K61" s="30"/>
      <c r="L61" s="11"/>
      <c r="M61" s="11"/>
      <c r="N61" s="11"/>
      <c r="O61" s="11"/>
      <c r="P61" s="11"/>
    </row>
    <row r="62">
      <c r="A62" s="18">
        <v>5.0</v>
      </c>
      <c r="B62" s="20" t="str">
        <f>'7. Sınıf Denemeol'!C60</f>
        <v>B</v>
      </c>
      <c r="C62" s="20">
        <f>'7. Sınıf Denemeol'!D60</f>
        <v>16</v>
      </c>
      <c r="D62" s="21" t="str">
        <f t="shared" ref="D62:E62" si="60">#REF!</f>
        <v>#REF!</v>
      </c>
      <c r="E62" s="21" t="str">
        <f t="shared" si="60"/>
        <v>#REF!</v>
      </c>
      <c r="F62" s="22" t="s">
        <v>35</v>
      </c>
      <c r="G62" s="21"/>
      <c r="H62" s="23" t="str">
        <f t="shared" si="57"/>
        <v>M.7.1.1.5.</v>
      </c>
      <c r="I62" s="24" t="str">
        <f t="array" ref="I62">IFERROR(INDEX(A!D:D, MATCH(J62, A!E:E, 0)), "bulunamadı")</f>
        <v>Tam Sayılarla İşlemler</v>
      </c>
      <c r="J62" s="33" t="str">
        <f>'7. Sınıf Denemeol'!B60</f>
        <v>M.7.1.1.5. Tam sayılarla işlemler yapmayı gerektiren problemleri çözer.</v>
      </c>
      <c r="K62" s="30"/>
      <c r="L62" s="11"/>
      <c r="M62" s="11"/>
      <c r="N62" s="11"/>
      <c r="O62" s="11"/>
      <c r="P62" s="11"/>
    </row>
    <row r="63">
      <c r="A63" s="18">
        <v>6.0</v>
      </c>
      <c r="B63" s="20" t="str">
        <f>'7. Sınıf Denemeol'!C61</f>
        <v>C</v>
      </c>
      <c r="C63" s="20">
        <f>'7. Sınıf Denemeol'!D61</f>
        <v>17</v>
      </c>
      <c r="D63" s="21" t="str">
        <f t="shared" ref="D63:E63" si="61">#REF!</f>
        <v>#REF!</v>
      </c>
      <c r="E63" s="21" t="str">
        <f t="shared" si="61"/>
        <v>#REF!</v>
      </c>
      <c r="F63" s="22" t="s">
        <v>35</v>
      </c>
      <c r="G63" s="21"/>
      <c r="H63" s="23" t="str">
        <f t="shared" si="57"/>
        <v>M.7.1.1.1.</v>
      </c>
      <c r="I63" s="24" t="str">
        <f t="array" ref="I63">IFERROR(INDEX(A!D:D, MATCH(J63, A!E:E, 0)), "bulunamadı")</f>
        <v>Tam Sayılarla İşlemler</v>
      </c>
      <c r="J63" s="33" t="str">
        <f>'7. Sınıf Denemeol'!B61</f>
        <v>M.7.1.1.1. Tam sayılarla toplama ve çıkarma işlemlerini yapar, İlgili problemleri çözer.</v>
      </c>
      <c r="K63" s="30"/>
      <c r="L63" s="11"/>
      <c r="M63" s="11"/>
      <c r="N63" s="11"/>
      <c r="O63" s="11"/>
      <c r="P63" s="11"/>
    </row>
    <row r="64">
      <c r="A64" s="18">
        <v>7.0</v>
      </c>
      <c r="B64" s="20" t="str">
        <f>'7. Sınıf Denemeol'!C62</f>
        <v>B</v>
      </c>
      <c r="C64" s="20">
        <f>'7. Sınıf Denemeol'!D62</f>
        <v>18</v>
      </c>
      <c r="D64" s="21" t="str">
        <f t="shared" ref="D64:E64" si="62">#REF!</f>
        <v>#REF!</v>
      </c>
      <c r="E64" s="21" t="str">
        <f t="shared" si="62"/>
        <v>#REF!</v>
      </c>
      <c r="F64" s="22" t="s">
        <v>35</v>
      </c>
      <c r="G64" s="21"/>
      <c r="H64" s="23" t="str">
        <f t="shared" si="57"/>
        <v>M.7.1.1.5.</v>
      </c>
      <c r="I64" s="24" t="str">
        <f t="array" ref="I64">IFERROR(INDEX(A!D:D, MATCH(J64, A!E:E, 0)), "bulunamadı")</f>
        <v>Tam Sayılarla İşlemler</v>
      </c>
      <c r="J64" s="33" t="str">
        <f>'7. Sınıf Denemeol'!B62</f>
        <v>M.7.1.1.5. Tam sayılarla işlemler yapmayı gerektiren problemleri çözer.</v>
      </c>
      <c r="K64" s="30"/>
      <c r="L64" s="11"/>
      <c r="M64" s="11"/>
      <c r="N64" s="11"/>
      <c r="O64" s="11"/>
      <c r="P64" s="11"/>
    </row>
    <row r="65">
      <c r="A65" s="18">
        <v>8.0</v>
      </c>
      <c r="B65" s="20" t="str">
        <f>'7. Sınıf Denemeol'!C63</f>
        <v>A</v>
      </c>
      <c r="C65" s="20">
        <f>'7. Sınıf Denemeol'!D63</f>
        <v>19</v>
      </c>
      <c r="D65" s="21" t="str">
        <f t="shared" ref="D65:E65" si="63">#REF!</f>
        <v>#REF!</v>
      </c>
      <c r="E65" s="21" t="str">
        <f t="shared" si="63"/>
        <v>#REF!</v>
      </c>
      <c r="F65" s="22" t="s">
        <v>35</v>
      </c>
      <c r="G65" s="21"/>
      <c r="H65" s="23" t="str">
        <f t="shared" si="57"/>
        <v>M.7.1.1.1.</v>
      </c>
      <c r="I65" s="24" t="str">
        <f t="array" ref="I65">IFERROR(INDEX(A!D:D, MATCH(J65, A!E:E, 0)), "bulunamadı")</f>
        <v>Tam Sayılarla İşlemler</v>
      </c>
      <c r="J65" s="33" t="str">
        <f>'7. Sınıf Denemeol'!B63</f>
        <v>M.7.1.1.1. Tam sayılarla toplama ve çıkarma işlemlerini yapar, İlgili problemleri çözer.</v>
      </c>
      <c r="K65" s="30"/>
      <c r="L65" s="11"/>
      <c r="M65" s="11"/>
      <c r="N65" s="11"/>
      <c r="O65" s="11"/>
      <c r="P65" s="11"/>
    </row>
    <row r="66">
      <c r="A66" s="18">
        <v>9.0</v>
      </c>
      <c r="B66" s="20" t="str">
        <f>'7. Sınıf Denemeol'!C64</f>
        <v>A</v>
      </c>
      <c r="C66" s="20">
        <f>'7. Sınıf Denemeol'!D64</f>
        <v>20</v>
      </c>
      <c r="D66" s="21" t="str">
        <f t="shared" ref="D66:E66" si="64">#REF!</f>
        <v>#REF!</v>
      </c>
      <c r="E66" s="21" t="str">
        <f t="shared" si="64"/>
        <v>#REF!</v>
      </c>
      <c r="F66" s="22" t="s">
        <v>35</v>
      </c>
      <c r="G66" s="21"/>
      <c r="H66" s="23" t="str">
        <f t="shared" si="57"/>
        <v>M.7.1.1.1.</v>
      </c>
      <c r="I66" s="24" t="str">
        <f t="array" ref="I66">IFERROR(INDEX(A!D:D, MATCH(J66, A!E:E, 0)), "bulunamadı")</f>
        <v>Tam Sayılarla İşlemler</v>
      </c>
      <c r="J66" s="33" t="str">
        <f>'7. Sınıf Denemeol'!B64</f>
        <v>M.7.1.1.1. Tam sayılarla toplama ve çıkarma işlemlerini yapar, İlgili problemleri çözer.</v>
      </c>
      <c r="K66" s="30"/>
      <c r="L66" s="11"/>
      <c r="M66" s="11"/>
      <c r="N66" s="11"/>
      <c r="O66" s="11"/>
      <c r="P66" s="11"/>
    </row>
    <row r="67">
      <c r="A67" s="18">
        <v>10.0</v>
      </c>
      <c r="B67" s="20" t="str">
        <f>'7. Sınıf Denemeol'!C65</f>
        <v>C</v>
      </c>
      <c r="C67" s="20">
        <f>'7. Sınıf Denemeol'!D65</f>
        <v>1</v>
      </c>
      <c r="D67" s="21" t="str">
        <f t="shared" ref="D67:E67" si="65">#REF!</f>
        <v>#REF!</v>
      </c>
      <c r="E67" s="21" t="str">
        <f t="shared" si="65"/>
        <v>#REF!</v>
      </c>
      <c r="F67" s="22" t="s">
        <v>35</v>
      </c>
      <c r="G67" s="21"/>
      <c r="H67" s="23" t="str">
        <f t="shared" si="57"/>
        <v>M.7.1.1.5.</v>
      </c>
      <c r="I67" s="24" t="str">
        <f t="array" ref="I67">IFERROR(INDEX(A!D:D, MATCH(J67, A!E:E, 0)), "bulunamadı")</f>
        <v>Tam Sayılarla İşlemler</v>
      </c>
      <c r="J67" s="33" t="str">
        <f>'7. Sınıf Denemeol'!B65</f>
        <v>M.7.1.1.5. Tam sayılarla işlemler yapmayı gerektiren problemleri çözer.</v>
      </c>
      <c r="K67" s="30"/>
      <c r="L67" s="11"/>
      <c r="M67" s="11"/>
      <c r="N67" s="11"/>
      <c r="O67" s="11"/>
      <c r="P67" s="11"/>
    </row>
    <row r="68">
      <c r="A68" s="18">
        <v>11.0</v>
      </c>
      <c r="B68" s="20" t="str">
        <f>'7. Sınıf Denemeol'!C66</f>
        <v>B</v>
      </c>
      <c r="C68" s="20">
        <f>'7. Sınıf Denemeol'!D66</f>
        <v>2</v>
      </c>
      <c r="D68" s="21" t="str">
        <f t="shared" ref="D68:E68" si="66">#REF!</f>
        <v>#REF!</v>
      </c>
      <c r="E68" s="21" t="str">
        <f t="shared" si="66"/>
        <v>#REF!</v>
      </c>
      <c r="F68" s="22" t="s">
        <v>35</v>
      </c>
      <c r="G68" s="21"/>
      <c r="H68" s="23" t="str">
        <f t="shared" si="57"/>
        <v>M.7.1.1.1.</v>
      </c>
      <c r="I68" s="24" t="str">
        <f t="array" ref="I68">IFERROR(INDEX(A!D:D, MATCH(J68, A!E:E, 0)), "bulunamadı")</f>
        <v>Tam Sayılarla İşlemler</v>
      </c>
      <c r="J68" s="33" t="str">
        <f>'7. Sınıf Denemeol'!B66</f>
        <v>M.7.1.1.1. Tam sayılarla toplama ve çıkarma işlemlerini yapar, İlgili problemleri çözer.</v>
      </c>
      <c r="K68" s="30"/>
      <c r="L68" s="11"/>
      <c r="M68" s="11"/>
      <c r="N68" s="11"/>
      <c r="O68" s="11"/>
      <c r="P68" s="11"/>
    </row>
    <row r="69">
      <c r="A69" s="18">
        <v>12.0</v>
      </c>
      <c r="B69" s="20" t="str">
        <f>'7. Sınıf Denemeol'!C67</f>
        <v>D</v>
      </c>
      <c r="C69" s="20">
        <f>'7. Sınıf Denemeol'!D67</f>
        <v>3</v>
      </c>
      <c r="D69" s="21" t="str">
        <f t="shared" ref="D69:E69" si="67">#REF!</f>
        <v>#REF!</v>
      </c>
      <c r="E69" s="21" t="str">
        <f t="shared" si="67"/>
        <v>#REF!</v>
      </c>
      <c r="F69" s="22" t="s">
        <v>35</v>
      </c>
      <c r="G69" s="21"/>
      <c r="H69" s="23" t="str">
        <f t="shared" si="57"/>
        <v>M.7.1.1.1.</v>
      </c>
      <c r="I69" s="24" t="str">
        <f t="array" ref="I69">IFERROR(INDEX(A!D:D, MATCH(J69, A!E:E, 0)), "bulunamadı")</f>
        <v>Tam Sayılarla İşlemler</v>
      </c>
      <c r="J69" s="33" t="str">
        <f>'7. Sınıf Denemeol'!B67</f>
        <v>M.7.1.1.1. Tam sayılarla toplama ve çıkarma işlemlerini yapar, İlgili problemleri çözer.</v>
      </c>
      <c r="K69" s="30"/>
      <c r="L69" s="11"/>
      <c r="M69" s="11"/>
      <c r="N69" s="11"/>
      <c r="O69" s="11"/>
      <c r="P69" s="11"/>
    </row>
    <row r="70">
      <c r="A70" s="18">
        <v>13.0</v>
      </c>
      <c r="B70" s="20" t="str">
        <f>'7. Sınıf Denemeol'!C68</f>
        <v>D</v>
      </c>
      <c r="C70" s="20">
        <f>'7. Sınıf Denemeol'!D68</f>
        <v>4</v>
      </c>
      <c r="D70" s="21" t="str">
        <f t="shared" ref="D70:E70" si="68">#REF!</f>
        <v>#REF!</v>
      </c>
      <c r="E70" s="21" t="str">
        <f t="shared" si="68"/>
        <v>#REF!</v>
      </c>
      <c r="F70" s="22" t="s">
        <v>35</v>
      </c>
      <c r="G70" s="21"/>
      <c r="H70" s="23" t="str">
        <f t="shared" si="57"/>
        <v>M.7.1.1.1.</v>
      </c>
      <c r="I70" s="24" t="str">
        <f t="array" ref="I70">IFERROR(INDEX(A!D:D, MATCH(J70, A!E:E, 0)), "bulunamadı")</f>
        <v>Tam Sayılarla İşlemler</v>
      </c>
      <c r="J70" s="33" t="str">
        <f>'7. Sınıf Denemeol'!B68</f>
        <v>M.7.1.1.1. Tam sayılarla toplama ve çıkarma işlemlerini yapar, İlgili problemleri çözer.</v>
      </c>
      <c r="K70" s="30"/>
      <c r="L70" s="11"/>
      <c r="M70" s="11"/>
      <c r="N70" s="11"/>
      <c r="O70" s="11"/>
      <c r="P70" s="11"/>
    </row>
    <row r="71">
      <c r="A71" s="18">
        <v>14.0</v>
      </c>
      <c r="B71" s="20" t="str">
        <f>'7. Sınıf Denemeol'!C69</f>
        <v>B</v>
      </c>
      <c r="C71" s="20">
        <f>'7. Sınıf Denemeol'!D69</f>
        <v>5</v>
      </c>
      <c r="D71" s="21" t="str">
        <f t="shared" ref="D71:E71" si="69">#REF!</f>
        <v>#REF!</v>
      </c>
      <c r="E71" s="21" t="str">
        <f t="shared" si="69"/>
        <v>#REF!</v>
      </c>
      <c r="F71" s="22" t="s">
        <v>35</v>
      </c>
      <c r="G71" s="21"/>
      <c r="H71" s="23" t="str">
        <f t="shared" si="57"/>
        <v>M.7.1.1.3.</v>
      </c>
      <c r="I71" s="24" t="str">
        <f t="array" ref="I71">IFERROR(INDEX(A!D:D, MATCH(J71, A!E:E, 0)), "bulunamadı")</f>
        <v>Tam Sayılarla İşlemler</v>
      </c>
      <c r="J71" s="33" t="str">
        <f>'7. Sınıf Denemeol'!B69</f>
        <v>M.7.1.1.3. Tam sayılarla çarpma ve bölme işlemlerini yapar.</v>
      </c>
      <c r="K71" s="30"/>
      <c r="L71" s="11"/>
      <c r="M71" s="11"/>
      <c r="N71" s="11"/>
      <c r="O71" s="11"/>
      <c r="P71" s="11"/>
    </row>
    <row r="72">
      <c r="A72" s="18">
        <v>15.0</v>
      </c>
      <c r="B72" s="20" t="str">
        <f>'7. Sınıf Denemeol'!C70</f>
        <v>D</v>
      </c>
      <c r="C72" s="20">
        <f>'7. Sınıf Denemeol'!D70</f>
        <v>6</v>
      </c>
      <c r="D72" s="21" t="str">
        <f t="shared" ref="D72:E72" si="70">#REF!</f>
        <v>#REF!</v>
      </c>
      <c r="E72" s="21" t="str">
        <f t="shared" si="70"/>
        <v>#REF!</v>
      </c>
      <c r="F72" s="22" t="s">
        <v>35</v>
      </c>
      <c r="G72" s="21"/>
      <c r="H72" s="23" t="str">
        <f t="shared" si="57"/>
        <v>M.7.1.1.2.</v>
      </c>
      <c r="I72" s="24" t="str">
        <f t="array" ref="I72">IFERROR(INDEX(A!D:D, MATCH(J72, A!E:E, 0)), "bulunamadı")</f>
        <v>Tam Sayılarla İşlemler</v>
      </c>
      <c r="J72" s="33" t="str">
        <f>'7. Sınıf Denemeol'!B70</f>
        <v>M.7.1.1.2. Toplama işleminin özelliklerini akıcı işlem yapmak için birer strateji olarak kullanır.</v>
      </c>
      <c r="K72" s="30"/>
      <c r="L72" s="11"/>
      <c r="M72" s="11"/>
      <c r="N72" s="11"/>
      <c r="O72" s="11"/>
      <c r="P72" s="11"/>
    </row>
    <row r="73">
      <c r="A73" s="18">
        <v>16.0</v>
      </c>
      <c r="B73" s="20" t="str">
        <f>'7. Sınıf Denemeol'!C71</f>
        <v>A</v>
      </c>
      <c r="C73" s="20">
        <f>'7. Sınıf Denemeol'!D71</f>
        <v>7</v>
      </c>
      <c r="D73" s="21" t="str">
        <f t="shared" ref="D73:E73" si="71">#REF!</f>
        <v>#REF!</v>
      </c>
      <c r="E73" s="21" t="str">
        <f t="shared" si="71"/>
        <v>#REF!</v>
      </c>
      <c r="F73" s="22" t="s">
        <v>35</v>
      </c>
      <c r="G73" s="21"/>
      <c r="H73" s="23" t="str">
        <f t="shared" si="57"/>
        <v>M.7.1.1.2.</v>
      </c>
      <c r="I73" s="24" t="str">
        <f t="array" ref="I73">IFERROR(INDEX(A!D:D, MATCH(J73, A!E:E, 0)), "bulunamadı")</f>
        <v>Tam Sayılarla İşlemler</v>
      </c>
      <c r="J73" s="33" t="str">
        <f>'7. Sınıf Denemeol'!B71</f>
        <v>M.7.1.1.2. Toplama işleminin özelliklerini akıcı işlem yapmak için birer strateji olarak kullanır.</v>
      </c>
      <c r="K73" s="30"/>
      <c r="L73" s="11"/>
      <c r="M73" s="11"/>
      <c r="N73" s="11"/>
      <c r="O73" s="11"/>
      <c r="P73" s="11"/>
    </row>
    <row r="74">
      <c r="A74" s="18">
        <v>17.0</v>
      </c>
      <c r="B74" s="20" t="str">
        <f>'7. Sınıf Denemeol'!C72</f>
        <v>D</v>
      </c>
      <c r="C74" s="20">
        <f>'7. Sınıf Denemeol'!D72</f>
        <v>8</v>
      </c>
      <c r="D74" s="21" t="str">
        <f t="shared" ref="D74:E74" si="72">#REF!</f>
        <v>#REF!</v>
      </c>
      <c r="E74" s="21" t="str">
        <f t="shared" si="72"/>
        <v>#REF!</v>
      </c>
      <c r="F74" s="22" t="s">
        <v>35</v>
      </c>
      <c r="G74" s="21"/>
      <c r="H74" s="23" t="str">
        <f t="shared" si="57"/>
        <v>M.7.1.1.4.</v>
      </c>
      <c r="I74" s="24" t="str">
        <f t="array" ref="I74">IFERROR(INDEX(A!D:D, MATCH(J74, A!E:E, 0)), "bulunamadı")</f>
        <v>Tam Sayılarla İşlemler</v>
      </c>
      <c r="J74" s="33" t="str">
        <f>'7. Sınıf Denemeol'!B72</f>
        <v>M.7.1.1.4. Tam sayıların kendileri ile tekrarlı çarpımını üslü nicelik olarak ifade eder.</v>
      </c>
      <c r="K74" s="30"/>
      <c r="L74" s="11"/>
      <c r="M74" s="11"/>
      <c r="N74" s="11"/>
      <c r="O74" s="11"/>
      <c r="P74" s="11"/>
    </row>
    <row r="75">
      <c r="A75" s="18">
        <v>18.0</v>
      </c>
      <c r="B75" s="20" t="str">
        <f>'7. Sınıf Denemeol'!C73</f>
        <v>C</v>
      </c>
      <c r="C75" s="20">
        <f>'7. Sınıf Denemeol'!D73</f>
        <v>9</v>
      </c>
      <c r="D75" s="21" t="str">
        <f t="shared" ref="D75:E75" si="73">#REF!</f>
        <v>#REF!</v>
      </c>
      <c r="E75" s="21" t="str">
        <f t="shared" si="73"/>
        <v>#REF!</v>
      </c>
      <c r="F75" s="22" t="s">
        <v>35</v>
      </c>
      <c r="G75" s="21"/>
      <c r="H75" s="23" t="str">
        <f t="shared" si="57"/>
        <v>M.7.1.1.3.</v>
      </c>
      <c r="I75" s="24" t="str">
        <f t="array" ref="I75">IFERROR(INDEX(A!D:D, MATCH(J75, A!E:E, 0)), "bulunamadı")</f>
        <v>Tam Sayılarla İşlemler</v>
      </c>
      <c r="J75" s="33" t="str">
        <f>'7. Sınıf Denemeol'!B73</f>
        <v>M.7.1.1.3. Tam sayılarla çarpma ve bölme işlemlerini yapar.</v>
      </c>
      <c r="K75" s="30"/>
      <c r="L75" s="11"/>
      <c r="M75" s="11"/>
      <c r="N75" s="11"/>
      <c r="O75" s="11"/>
      <c r="P75" s="11"/>
    </row>
    <row r="76">
      <c r="A76" s="18">
        <v>19.0</v>
      </c>
      <c r="B76" s="20" t="str">
        <f>'7. Sınıf Denemeol'!C74</f>
        <v>A</v>
      </c>
      <c r="C76" s="20">
        <f>'7. Sınıf Denemeol'!D74</f>
        <v>10</v>
      </c>
      <c r="D76" s="21" t="str">
        <f t="shared" ref="D76:E76" si="74">#REF!</f>
        <v>#REF!</v>
      </c>
      <c r="E76" s="21" t="str">
        <f t="shared" si="74"/>
        <v>#REF!</v>
      </c>
      <c r="F76" s="22" t="s">
        <v>35</v>
      </c>
      <c r="G76" s="21"/>
      <c r="H76" s="23" t="str">
        <f t="shared" si="57"/>
        <v>M.7.1.1.5.</v>
      </c>
      <c r="I76" s="24" t="str">
        <f t="array" ref="I76">IFERROR(INDEX(A!D:D, MATCH(J76, A!E:E, 0)), "bulunamadı")</f>
        <v>Tam Sayılarla İşlemler</v>
      </c>
      <c r="J76" s="33" t="str">
        <f>'7. Sınıf Denemeol'!B74</f>
        <v>M.7.1.1.5. Tam sayılarla işlemler yapmayı gerektiren problemleri çözer.</v>
      </c>
      <c r="K76" s="30"/>
      <c r="L76" s="11"/>
      <c r="M76" s="11"/>
      <c r="N76" s="11"/>
      <c r="O76" s="11"/>
      <c r="P76" s="11"/>
    </row>
    <row r="77">
      <c r="A77" s="18">
        <v>20.0</v>
      </c>
      <c r="B77" s="20" t="str">
        <f>'7. Sınıf Denemeol'!C75</f>
        <v>C</v>
      </c>
      <c r="C77" s="20">
        <f>'7. Sınıf Denemeol'!D75</f>
        <v>11</v>
      </c>
      <c r="D77" s="21" t="str">
        <f t="shared" ref="D77:E77" si="75">#REF!</f>
        <v>#REF!</v>
      </c>
      <c r="E77" s="21" t="str">
        <f t="shared" si="75"/>
        <v>#REF!</v>
      </c>
      <c r="F77" s="22" t="s">
        <v>35</v>
      </c>
      <c r="G77" s="21"/>
      <c r="H77" s="23" t="str">
        <f t="shared" si="57"/>
        <v>M.7.1.1.4.</v>
      </c>
      <c r="I77" s="24" t="str">
        <f t="array" ref="I77">IFERROR(INDEX(A!D:D, MATCH(J77, A!E:E, 0)), "bulunamadı")</f>
        <v>Tam Sayılarla İşlemler</v>
      </c>
      <c r="J77" s="33" t="str">
        <f>'7. Sınıf Denemeol'!B75</f>
        <v>M.7.1.1.4. Tam sayıların kendileri ile tekrarlı çarpımını üslü nicelik olarak ifade eder.</v>
      </c>
      <c r="K77" s="30"/>
      <c r="L77" s="11"/>
      <c r="M77" s="11"/>
      <c r="N77" s="11"/>
      <c r="O77" s="11"/>
      <c r="P77" s="11"/>
    </row>
    <row r="78">
      <c r="A78" s="15" t="s">
        <v>41</v>
      </c>
      <c r="B78" s="16" t="s">
        <v>55</v>
      </c>
      <c r="C78" s="16" t="s">
        <v>3</v>
      </c>
      <c r="D78" s="16" t="s">
        <v>5</v>
      </c>
      <c r="E78" s="16" t="s">
        <v>9</v>
      </c>
      <c r="F78" s="16" t="s">
        <v>62</v>
      </c>
      <c r="G78" s="16" t="s">
        <v>57</v>
      </c>
      <c r="H78" s="16" t="s">
        <v>58</v>
      </c>
      <c r="I78" s="16" t="s">
        <v>59</v>
      </c>
      <c r="J78" s="16" t="s">
        <v>1</v>
      </c>
      <c r="K78" s="16" t="s">
        <v>60</v>
      </c>
      <c r="L78" s="11"/>
      <c r="M78" s="11"/>
      <c r="N78" s="11"/>
      <c r="O78" s="11"/>
      <c r="P78" s="11"/>
    </row>
    <row r="79">
      <c r="A79" s="18">
        <v>1.0</v>
      </c>
      <c r="B79" s="19" t="str">
        <f>'7. Sınıf Denemeol'!C77</f>
        <v>C</v>
      </c>
      <c r="C79" s="20">
        <f>'7. Sınıf Denemeol'!D77</f>
        <v>12</v>
      </c>
      <c r="D79" s="21" t="str">
        <f t="shared" ref="D79:E79" si="76">#REF!</f>
        <v>#REF!</v>
      </c>
      <c r="E79" s="21" t="str">
        <f t="shared" si="76"/>
        <v>#REF!</v>
      </c>
      <c r="F79" s="22" t="s">
        <v>41</v>
      </c>
      <c r="G79" s="21"/>
      <c r="H79" s="23" t="str">
        <f t="shared" ref="H79:H98" si="78">LEFT(J79,FIND(" ",J79)-1)</f>
        <v>F.7.1.1.1.</v>
      </c>
      <c r="I79" s="24" t="str">
        <f t="array" ref="I79">IFERROR(INDEX(A!D:D, MATCH(J79, A!E:E, 0)), "bulunamadı")</f>
        <v>Uzay Araştırmaları</v>
      </c>
      <c r="J79" s="22" t="str">
        <f>'7. Sınıf Denemeol'!B77</f>
        <v>F.7.1.1.1. Uzay teknolojilerini açıklar.</v>
      </c>
      <c r="K79" s="30"/>
      <c r="L79" s="11"/>
      <c r="M79" s="11"/>
      <c r="N79" s="11"/>
      <c r="O79" s="11"/>
      <c r="P79" s="11"/>
    </row>
    <row r="80">
      <c r="A80" s="18">
        <v>2.0</v>
      </c>
      <c r="B80" s="19" t="str">
        <f>'7. Sınıf Denemeol'!C78</f>
        <v>D</v>
      </c>
      <c r="C80" s="20">
        <f>'7. Sınıf Denemeol'!D78</f>
        <v>13</v>
      </c>
      <c r="D80" s="21" t="str">
        <f t="shared" ref="D80:E80" si="77">#REF!</f>
        <v>#REF!</v>
      </c>
      <c r="E80" s="21" t="str">
        <f t="shared" si="77"/>
        <v>#REF!</v>
      </c>
      <c r="F80" s="22" t="s">
        <v>41</v>
      </c>
      <c r="G80" s="21"/>
      <c r="H80" s="23" t="str">
        <f t="shared" si="78"/>
        <v>F.7.1.2.1.</v>
      </c>
      <c r="I80" s="24" t="str">
        <f t="array" ref="I80">IFERROR(INDEX(A!D:D, MATCH(J80, A!E:E, 0)), "bulunamadı")</f>
        <v>Güneş Sistemi Ötesi: Gök Cisimleri</v>
      </c>
      <c r="J80" s="22" t="str">
        <f>'7. Sınıf Denemeol'!B78</f>
        <v>F.7.1.2.1. Yıldız oluşum sürecinin farkına varır.</v>
      </c>
      <c r="K80" s="30"/>
      <c r="L80" s="11"/>
      <c r="M80" s="11"/>
      <c r="N80" s="11"/>
      <c r="O80" s="11"/>
      <c r="P80" s="11"/>
    </row>
    <row r="81">
      <c r="A81" s="18">
        <v>3.0</v>
      </c>
      <c r="B81" s="19" t="str">
        <f>'7. Sınıf Denemeol'!C79</f>
        <v>A</v>
      </c>
      <c r="C81" s="20">
        <f>'7. Sınıf Denemeol'!D79</f>
        <v>14</v>
      </c>
      <c r="D81" s="21" t="str">
        <f t="shared" ref="D81:E81" si="79">#REF!</f>
        <v>#REF!</v>
      </c>
      <c r="E81" s="21" t="str">
        <f t="shared" si="79"/>
        <v>#REF!</v>
      </c>
      <c r="F81" s="22" t="s">
        <v>41</v>
      </c>
      <c r="G81" s="21"/>
      <c r="H81" s="23" t="str">
        <f t="shared" si="78"/>
        <v>F.7.1.1.3.</v>
      </c>
      <c r="I81" s="24" t="str">
        <f t="array" ref="I81">IFERROR(INDEX(A!D:D, MATCH(J81, A!E:E, 0)), "bulunamadı")</f>
        <v>Uzay Araştırmaları</v>
      </c>
      <c r="J81" s="22" t="str">
        <f>'7. Sınıf Denemeol'!B79</f>
        <v>F.7.1.1.3. Teknoloji ile uzay araştırmaları arasındaki ilişkiyi açıklar.</v>
      </c>
      <c r="K81" s="30"/>
      <c r="L81" s="11"/>
      <c r="M81" s="11"/>
      <c r="N81" s="11"/>
      <c r="O81" s="11"/>
      <c r="P81" s="11"/>
    </row>
    <row r="82">
      <c r="A82" s="18">
        <v>4.0</v>
      </c>
      <c r="B82" s="19" t="str">
        <f>'7. Sınıf Denemeol'!C80</f>
        <v>B</v>
      </c>
      <c r="C82" s="20">
        <f>'7. Sınıf Denemeol'!D80</f>
        <v>15</v>
      </c>
      <c r="D82" s="21" t="str">
        <f t="shared" ref="D82:E82" si="80">#REF!</f>
        <v>#REF!</v>
      </c>
      <c r="E82" s="21" t="str">
        <f t="shared" si="80"/>
        <v>#REF!</v>
      </c>
      <c r="F82" s="22" t="s">
        <v>41</v>
      </c>
      <c r="G82" s="21"/>
      <c r="H82" s="23" t="str">
        <f t="shared" si="78"/>
        <v>F.7.1.2.1.</v>
      </c>
      <c r="I82" s="24" t="str">
        <f t="array" ref="I82">IFERROR(INDEX(A!D:D, MATCH(J82, A!E:E, 0)), "bulunamadı")</f>
        <v>Güneş Sistemi Ötesi: Gök Cisimleri</v>
      </c>
      <c r="J82" s="22" t="str">
        <f>'7. Sınıf Denemeol'!B80</f>
        <v>F.7.1.2.1. Yıldız oluşum sürecinin farkına varır.</v>
      </c>
      <c r="K82" s="30"/>
      <c r="L82" s="11"/>
      <c r="M82" s="11"/>
      <c r="N82" s="11"/>
      <c r="O82" s="11"/>
      <c r="P82" s="11"/>
    </row>
    <row r="83">
      <c r="A83" s="18">
        <v>5.0</v>
      </c>
      <c r="B83" s="19" t="str">
        <f>'7. Sınıf Denemeol'!C81</f>
        <v>C</v>
      </c>
      <c r="C83" s="20">
        <f>'7. Sınıf Denemeol'!D81</f>
        <v>16</v>
      </c>
      <c r="D83" s="21" t="str">
        <f t="shared" ref="D83:E83" si="81">#REF!</f>
        <v>#REF!</v>
      </c>
      <c r="E83" s="21" t="str">
        <f t="shared" si="81"/>
        <v>#REF!</v>
      </c>
      <c r="F83" s="22" t="s">
        <v>41</v>
      </c>
      <c r="G83" s="21"/>
      <c r="H83" s="23" t="str">
        <f t="shared" si="78"/>
        <v>F.7.1.1.1.</v>
      </c>
      <c r="I83" s="24" t="str">
        <f t="array" ref="I83">IFERROR(INDEX(A!D:D, MATCH(J83, A!E:E, 0)), "bulunamadı")</f>
        <v>Uzay Araştırmaları</v>
      </c>
      <c r="J83" s="22" t="str">
        <f>'7. Sınıf Denemeol'!B81</f>
        <v>F.7.1.1.1. Uzay teknolojilerini açıklar.</v>
      </c>
      <c r="K83" s="30"/>
      <c r="L83" s="11"/>
      <c r="M83" s="11"/>
      <c r="N83" s="11"/>
      <c r="O83" s="11"/>
      <c r="P83" s="11"/>
    </row>
    <row r="84">
      <c r="A84" s="18">
        <v>6.0</v>
      </c>
      <c r="B84" s="19" t="str">
        <f>'7. Sınıf Denemeol'!C82</f>
        <v>A</v>
      </c>
      <c r="C84" s="20">
        <f>'7. Sınıf Denemeol'!D82</f>
        <v>17</v>
      </c>
      <c r="D84" s="21" t="str">
        <f t="shared" ref="D84:E84" si="82">#REF!</f>
        <v>#REF!</v>
      </c>
      <c r="E84" s="21" t="str">
        <f t="shared" si="82"/>
        <v>#REF!</v>
      </c>
      <c r="F84" s="22" t="s">
        <v>41</v>
      </c>
      <c r="G84" s="21"/>
      <c r="H84" s="23" t="str">
        <f t="shared" si="78"/>
        <v>F.7.1.2.2.</v>
      </c>
      <c r="I84" s="24" t="str">
        <f t="array" ref="I84">IFERROR(INDEX(A!D:D, MATCH(J84, A!E:E, 0)), "bulunamadı")</f>
        <v>Güneş Sistemi Ötesi: Gök Cisimleri</v>
      </c>
      <c r="J84" s="22" t="str">
        <f>'7. Sınıf Denemeol'!B82</f>
        <v>F.7.1.2.2. Yıldız kavramını açıklar.</v>
      </c>
      <c r="K84" s="30"/>
      <c r="L84" s="11"/>
      <c r="M84" s="11"/>
      <c r="N84" s="11"/>
      <c r="O84" s="11"/>
      <c r="P84" s="11"/>
    </row>
    <row r="85">
      <c r="A85" s="18">
        <v>7.0</v>
      </c>
      <c r="B85" s="19" t="str">
        <f>'7. Sınıf Denemeol'!C83</f>
        <v>A</v>
      </c>
      <c r="C85" s="20">
        <f>'7. Sınıf Denemeol'!D83</f>
        <v>18</v>
      </c>
      <c r="D85" s="21" t="str">
        <f t="shared" ref="D85:E85" si="83">#REF!</f>
        <v>#REF!</v>
      </c>
      <c r="E85" s="21" t="str">
        <f t="shared" si="83"/>
        <v>#REF!</v>
      </c>
      <c r="F85" s="22" t="s">
        <v>41</v>
      </c>
      <c r="G85" s="21"/>
      <c r="H85" s="23" t="str">
        <f t="shared" si="78"/>
        <v>F.7.1.1.1.</v>
      </c>
      <c r="I85" s="24" t="str">
        <f t="array" ref="I85">IFERROR(INDEX(A!D:D, MATCH(J85, A!E:E, 0)), "bulunamadı")</f>
        <v>Uzay Araştırmaları</v>
      </c>
      <c r="J85" s="22" t="str">
        <f>'7. Sınıf Denemeol'!B83</f>
        <v>F.7.1.1.1. Uzay teknolojilerini açıklar.</v>
      </c>
      <c r="K85" s="30"/>
      <c r="L85" s="11"/>
      <c r="M85" s="11"/>
      <c r="N85" s="11"/>
      <c r="O85" s="11"/>
      <c r="P85" s="11"/>
    </row>
    <row r="86">
      <c r="A86" s="18">
        <v>8.0</v>
      </c>
      <c r="B86" s="19" t="str">
        <f>'7. Sınıf Denemeol'!C84</f>
        <v>B</v>
      </c>
      <c r="C86" s="20">
        <f>'7. Sınıf Denemeol'!D84</f>
        <v>19</v>
      </c>
      <c r="D86" s="21" t="str">
        <f t="shared" ref="D86:E86" si="84">#REF!</f>
        <v>#REF!</v>
      </c>
      <c r="E86" s="21" t="str">
        <f t="shared" si="84"/>
        <v>#REF!</v>
      </c>
      <c r="F86" s="22" t="s">
        <v>41</v>
      </c>
      <c r="G86" s="21"/>
      <c r="H86" s="23" t="str">
        <f t="shared" si="78"/>
        <v>F.7.1.1.2.</v>
      </c>
      <c r="I86" s="24" t="str">
        <f t="array" ref="I86">IFERROR(INDEX(A!D:D, MATCH(J86, A!E:E, 0)), "bulunamadı")</f>
        <v>Uzay Araştırmaları</v>
      </c>
      <c r="J86" s="22" t="str">
        <f>'7. Sınıf Denemeol'!B84</f>
        <v>F.7.1.1.2. Uzay kirliliğinin nedenlerini ifade ederek bu kirliliğin yol açabileceği olası sonuçları tahmin eder.</v>
      </c>
      <c r="K86" s="30"/>
      <c r="L86" s="11"/>
      <c r="M86" s="11"/>
      <c r="N86" s="11"/>
      <c r="O86" s="11"/>
      <c r="P86" s="11"/>
    </row>
    <row r="87">
      <c r="A87" s="18">
        <v>9.0</v>
      </c>
      <c r="B87" s="19" t="str">
        <f>'7. Sınıf Denemeol'!C85</f>
        <v>D</v>
      </c>
      <c r="C87" s="20">
        <f>'7. Sınıf Denemeol'!D85</f>
        <v>20</v>
      </c>
      <c r="D87" s="21" t="str">
        <f t="shared" ref="D87:E87" si="85">#REF!</f>
        <v>#REF!</v>
      </c>
      <c r="E87" s="21" t="str">
        <f t="shared" si="85"/>
        <v>#REF!</v>
      </c>
      <c r="F87" s="22" t="s">
        <v>41</v>
      </c>
      <c r="G87" s="21"/>
      <c r="H87" s="23" t="str">
        <f t="shared" si="78"/>
        <v>F.7.1.1.2.</v>
      </c>
      <c r="I87" s="24" t="str">
        <f t="array" ref="I87">IFERROR(INDEX(A!D:D, MATCH(J87, A!E:E, 0)), "bulunamadı")</f>
        <v>Uzay Araştırmaları</v>
      </c>
      <c r="J87" s="22" t="str">
        <f>'7. Sınıf Denemeol'!B85</f>
        <v>F.7.1.1.2. Uzay kirliliğinin nedenlerini ifade ederek bu kirliliğin yol açabileceği olası sonuçları tahmin eder.</v>
      </c>
      <c r="K87" s="30"/>
      <c r="L87" s="11"/>
      <c r="M87" s="11"/>
      <c r="N87" s="11"/>
      <c r="O87" s="11"/>
      <c r="P87" s="11"/>
    </row>
    <row r="88">
      <c r="A88" s="18">
        <v>10.0</v>
      </c>
      <c r="B88" s="19" t="str">
        <f>'7. Sınıf Denemeol'!C86</f>
        <v>C</v>
      </c>
      <c r="C88" s="20">
        <f>'7. Sınıf Denemeol'!D86</f>
        <v>1</v>
      </c>
      <c r="D88" s="21" t="str">
        <f t="shared" ref="D88:E88" si="86">#REF!</f>
        <v>#REF!</v>
      </c>
      <c r="E88" s="21" t="str">
        <f t="shared" si="86"/>
        <v>#REF!</v>
      </c>
      <c r="F88" s="22" t="s">
        <v>41</v>
      </c>
      <c r="G88" s="21"/>
      <c r="H88" s="23" t="str">
        <f t="shared" si="78"/>
        <v>F.7.1.2.2.</v>
      </c>
      <c r="I88" s="24" t="str">
        <f t="array" ref="I88">IFERROR(INDEX(A!D:D, MATCH(J88, A!E:E, 0)), "bulunamadı")</f>
        <v>Güneş Sistemi Ötesi: Gök Cisimleri</v>
      </c>
      <c r="J88" s="22" t="str">
        <f>'7. Sınıf Denemeol'!B86</f>
        <v>F.7.1.2.2. Yıldız kavramını açıklar.</v>
      </c>
      <c r="K88" s="30"/>
      <c r="L88" s="11"/>
      <c r="M88" s="11"/>
      <c r="N88" s="11"/>
      <c r="O88" s="11"/>
      <c r="P88" s="11"/>
    </row>
    <row r="89">
      <c r="A89" s="18">
        <v>11.0</v>
      </c>
      <c r="B89" s="19" t="str">
        <f>'7. Sınıf Denemeol'!C87</f>
        <v>B</v>
      </c>
      <c r="C89" s="20">
        <f>'7. Sınıf Denemeol'!D87</f>
        <v>2</v>
      </c>
      <c r="D89" s="21" t="str">
        <f t="shared" ref="D89:E89" si="87">#REF!</f>
        <v>#REF!</v>
      </c>
      <c r="E89" s="21" t="str">
        <f t="shared" si="87"/>
        <v>#REF!</v>
      </c>
      <c r="F89" s="22" t="s">
        <v>41</v>
      </c>
      <c r="G89" s="21"/>
      <c r="H89" s="23" t="str">
        <f t="shared" si="78"/>
        <v>F.7.1.1.1.</v>
      </c>
      <c r="I89" s="24" t="str">
        <f t="array" ref="I89">IFERROR(INDEX(A!D:D, MATCH(J89, A!E:E, 0)), "bulunamadı")</f>
        <v>Uzay Araştırmaları</v>
      </c>
      <c r="J89" s="22" t="str">
        <f>'7. Sınıf Denemeol'!B87</f>
        <v>F.7.1.1.1. Uzay teknolojilerini açıklar.</v>
      </c>
      <c r="K89" s="30"/>
      <c r="L89" s="11"/>
      <c r="M89" s="11"/>
      <c r="N89" s="11"/>
      <c r="O89" s="11"/>
      <c r="P89" s="11"/>
    </row>
    <row r="90">
      <c r="A90" s="18">
        <v>12.0</v>
      </c>
      <c r="B90" s="19" t="str">
        <f>'7. Sınıf Denemeol'!C88</f>
        <v>D</v>
      </c>
      <c r="C90" s="20">
        <f>'7. Sınıf Denemeol'!D88</f>
        <v>3</v>
      </c>
      <c r="D90" s="21" t="str">
        <f t="shared" ref="D90:E90" si="88">#REF!</f>
        <v>#REF!</v>
      </c>
      <c r="E90" s="21" t="str">
        <f t="shared" si="88"/>
        <v>#REF!</v>
      </c>
      <c r="F90" s="22" t="s">
        <v>41</v>
      </c>
      <c r="G90" s="21"/>
      <c r="H90" s="23" t="str">
        <f t="shared" si="78"/>
        <v>F.7.1.1.5.</v>
      </c>
      <c r="I90" s="24" t="str">
        <f t="array" ref="I90">IFERROR(INDEX(A!D:D, MATCH(J90, A!E:E, 0)), "bulunamadı")</f>
        <v>Uzay Araştırmaları</v>
      </c>
      <c r="J90" s="22" t="str">
        <f>'7. Sınıf Denemeol'!B88</f>
        <v>F.7.1.1.5. Teleskobun gök bilimin gelişimindeki önemine yönelik çıkarımda bulunur.</v>
      </c>
      <c r="K90" s="30"/>
      <c r="L90" s="11"/>
      <c r="M90" s="11"/>
      <c r="N90" s="11"/>
      <c r="O90" s="11"/>
      <c r="P90" s="11"/>
    </row>
    <row r="91">
      <c r="A91" s="18">
        <v>13.0</v>
      </c>
      <c r="B91" s="19" t="str">
        <f>'7. Sınıf Denemeol'!C89</f>
        <v>B</v>
      </c>
      <c r="C91" s="20">
        <f>'7. Sınıf Denemeol'!D89</f>
        <v>4</v>
      </c>
      <c r="D91" s="21" t="str">
        <f t="shared" ref="D91:E91" si="89">#REF!</f>
        <v>#REF!</v>
      </c>
      <c r="E91" s="21" t="str">
        <f t="shared" si="89"/>
        <v>#REF!</v>
      </c>
      <c r="F91" s="22" t="s">
        <v>41</v>
      </c>
      <c r="G91" s="21"/>
      <c r="H91" s="23" t="str">
        <f t="shared" si="78"/>
        <v>F.7.1.1.5.</v>
      </c>
      <c r="I91" s="24" t="str">
        <f t="array" ref="I91">IFERROR(INDEX(A!D:D, MATCH(J91, A!E:E, 0)), "bulunamadı")</f>
        <v>Uzay Araştırmaları</v>
      </c>
      <c r="J91" s="22" t="str">
        <f>'7. Sınıf Denemeol'!B89</f>
        <v>F.7.1.1.5. Teleskobun gök bilimin gelişimindeki önemine yönelik çıkarımda bulunur.</v>
      </c>
      <c r="K91" s="30"/>
      <c r="L91" s="11"/>
      <c r="M91" s="11"/>
      <c r="N91" s="11"/>
      <c r="O91" s="11"/>
      <c r="P91" s="11"/>
    </row>
    <row r="92">
      <c r="A92" s="18">
        <v>14.0</v>
      </c>
      <c r="B92" s="19" t="str">
        <f>'7. Sınıf Denemeol'!C90</f>
        <v>C</v>
      </c>
      <c r="C92" s="20">
        <f>'7. Sınıf Denemeol'!D90</f>
        <v>5</v>
      </c>
      <c r="D92" s="21" t="str">
        <f t="shared" ref="D92:E92" si="90">#REF!</f>
        <v>#REF!</v>
      </c>
      <c r="E92" s="21" t="str">
        <f t="shared" si="90"/>
        <v>#REF!</v>
      </c>
      <c r="F92" s="22" t="s">
        <v>41</v>
      </c>
      <c r="G92" s="21"/>
      <c r="H92" s="23" t="str">
        <f t="shared" si="78"/>
        <v>F.7.1.1.4.</v>
      </c>
      <c r="I92" s="24" t="str">
        <f t="array" ref="I92">IFERROR(INDEX(A!D:D, MATCH(J92, A!E:E, 0)), "bulunamadı")</f>
        <v>Uzay Araştırmaları</v>
      </c>
      <c r="J92" s="22" t="str">
        <f>'7. Sınıf Denemeol'!B90</f>
        <v>F.7.1.1.4. Teleskobun yapısını ve ne işe yaradığını açıklar.</v>
      </c>
      <c r="K92" s="30"/>
      <c r="L92" s="11"/>
      <c r="M92" s="11"/>
      <c r="N92" s="11"/>
      <c r="O92" s="11"/>
      <c r="P92" s="11"/>
    </row>
    <row r="93">
      <c r="A93" s="18">
        <v>15.0</v>
      </c>
      <c r="B93" s="19" t="str">
        <f>'7. Sınıf Denemeol'!C91</f>
        <v>D</v>
      </c>
      <c r="C93" s="20">
        <f>'7. Sınıf Denemeol'!D91</f>
        <v>6</v>
      </c>
      <c r="D93" s="21" t="str">
        <f t="shared" ref="D93:E93" si="91">#REF!</f>
        <v>#REF!</v>
      </c>
      <c r="E93" s="21" t="str">
        <f t="shared" si="91"/>
        <v>#REF!</v>
      </c>
      <c r="F93" s="22" t="s">
        <v>41</v>
      </c>
      <c r="G93" s="21"/>
      <c r="H93" s="23" t="str">
        <f t="shared" si="78"/>
        <v>F.7.1.2.1.</v>
      </c>
      <c r="I93" s="24" t="str">
        <f t="array" ref="I93">IFERROR(INDEX(A!D:D, MATCH(J93, A!E:E, 0)), "bulunamadı")</f>
        <v>Güneş Sistemi Ötesi: Gök Cisimleri</v>
      </c>
      <c r="J93" s="22" t="str">
        <f>'7. Sınıf Denemeol'!B91</f>
        <v>F.7.1.2.1. Yıldız oluşum sürecinin farkına varır.</v>
      </c>
      <c r="K93" s="30"/>
      <c r="L93" s="11"/>
      <c r="M93" s="11"/>
      <c r="N93" s="11"/>
      <c r="O93" s="11"/>
      <c r="P93" s="11"/>
    </row>
    <row r="94">
      <c r="A94" s="18">
        <v>16.0</v>
      </c>
      <c r="B94" s="19" t="str">
        <f>'7. Sınıf Denemeol'!C92</f>
        <v>C</v>
      </c>
      <c r="C94" s="20">
        <f>'7. Sınıf Denemeol'!D92</f>
        <v>7</v>
      </c>
      <c r="D94" s="21" t="str">
        <f t="shared" ref="D94:E94" si="92">#REF!</f>
        <v>#REF!</v>
      </c>
      <c r="E94" s="21" t="str">
        <f t="shared" si="92"/>
        <v>#REF!</v>
      </c>
      <c r="F94" s="22" t="s">
        <v>41</v>
      </c>
      <c r="G94" s="21"/>
      <c r="H94" s="23" t="str">
        <f t="shared" si="78"/>
        <v>F.7.1.1.1.</v>
      </c>
      <c r="I94" s="24" t="str">
        <f t="array" ref="I94">IFERROR(INDEX(A!D:D, MATCH(J94, A!E:E, 0)), "bulunamadı")</f>
        <v>Uzay Araştırmaları</v>
      </c>
      <c r="J94" s="22" t="str">
        <f>'7. Sınıf Denemeol'!B92</f>
        <v>F.7.1.1.1. Uzay teknolojilerini açıklar.</v>
      </c>
      <c r="K94" s="30"/>
      <c r="L94" s="11"/>
      <c r="M94" s="11"/>
      <c r="N94" s="11"/>
      <c r="O94" s="11"/>
      <c r="P94" s="11"/>
    </row>
    <row r="95">
      <c r="A95" s="18">
        <v>17.0</v>
      </c>
      <c r="B95" s="19" t="str">
        <f>'7. Sınıf Denemeol'!C93</f>
        <v>C</v>
      </c>
      <c r="C95" s="20">
        <f>'7. Sınıf Denemeol'!D93</f>
        <v>8</v>
      </c>
      <c r="D95" s="21" t="str">
        <f t="shared" ref="D95:E95" si="93">#REF!</f>
        <v>#REF!</v>
      </c>
      <c r="E95" s="21" t="str">
        <f t="shared" si="93"/>
        <v>#REF!</v>
      </c>
      <c r="F95" s="22" t="s">
        <v>41</v>
      </c>
      <c r="G95" s="21"/>
      <c r="H95" s="23" t="str">
        <f t="shared" si="78"/>
        <v>F.7.1.1.1.</v>
      </c>
      <c r="I95" s="24" t="str">
        <f t="array" ref="I95">IFERROR(INDEX(A!D:D, MATCH(J95, A!E:E, 0)), "bulunamadı")</f>
        <v>Uzay Araştırmaları</v>
      </c>
      <c r="J95" s="22" t="str">
        <f>'7. Sınıf Denemeol'!B93</f>
        <v>F.7.1.1.1. Uzay teknolojilerini açıklar.</v>
      </c>
      <c r="K95" s="30"/>
      <c r="L95" s="11"/>
      <c r="M95" s="11"/>
      <c r="N95" s="11"/>
      <c r="O95" s="11"/>
      <c r="P95" s="11"/>
    </row>
    <row r="96">
      <c r="A96" s="18">
        <v>18.0</v>
      </c>
      <c r="B96" s="19" t="str">
        <f>'7. Sınıf Denemeol'!C94</f>
        <v>D</v>
      </c>
      <c r="C96" s="20">
        <f>'7. Sınıf Denemeol'!D94</f>
        <v>9</v>
      </c>
      <c r="D96" s="21" t="str">
        <f t="shared" ref="D96:E96" si="94">#REF!</f>
        <v>#REF!</v>
      </c>
      <c r="E96" s="21" t="str">
        <f t="shared" si="94"/>
        <v>#REF!</v>
      </c>
      <c r="F96" s="22" t="s">
        <v>41</v>
      </c>
      <c r="G96" s="21"/>
      <c r="H96" s="23" t="str">
        <f t="shared" si="78"/>
        <v>F.7.1.2.2.</v>
      </c>
      <c r="I96" s="24" t="str">
        <f t="array" ref="I96">IFERROR(INDEX(A!D:D, MATCH(J96, A!E:E, 0)), "bulunamadı")</f>
        <v>Güneş Sistemi Ötesi: Gök Cisimleri</v>
      </c>
      <c r="J96" s="22" t="str">
        <f>'7. Sınıf Denemeol'!B94</f>
        <v>F.7.1.2.2. Yıldız kavramını açıklar.</v>
      </c>
      <c r="K96" s="30"/>
      <c r="L96" s="11"/>
      <c r="M96" s="11"/>
      <c r="N96" s="11"/>
      <c r="O96" s="11"/>
      <c r="P96" s="11"/>
    </row>
    <row r="97">
      <c r="A97" s="18">
        <v>19.0</v>
      </c>
      <c r="B97" s="19" t="str">
        <f>'7. Sınıf Denemeol'!C95</f>
        <v>B</v>
      </c>
      <c r="C97" s="20">
        <f>'7. Sınıf Denemeol'!D95</f>
        <v>10</v>
      </c>
      <c r="D97" s="21" t="str">
        <f t="shared" ref="D97:E97" si="95">#REF!</f>
        <v>#REF!</v>
      </c>
      <c r="E97" s="21" t="str">
        <f t="shared" si="95"/>
        <v>#REF!</v>
      </c>
      <c r="F97" s="22" t="s">
        <v>41</v>
      </c>
      <c r="G97" s="21"/>
      <c r="H97" s="23" t="str">
        <f t="shared" si="78"/>
        <v>F.7.1.1.4.</v>
      </c>
      <c r="I97" s="24" t="str">
        <f t="array" ref="I97">IFERROR(INDEX(A!D:D, MATCH(J97, A!E:E, 0)), "bulunamadı")</f>
        <v>Uzay Araştırmaları</v>
      </c>
      <c r="J97" s="22" t="str">
        <f>'7. Sınıf Denemeol'!B95</f>
        <v>F.7.1.1.4. Teleskobun yapısını ve ne işe yaradığını açıklar.</v>
      </c>
      <c r="K97" s="30"/>
      <c r="L97" s="11"/>
      <c r="M97" s="11"/>
      <c r="N97" s="11"/>
      <c r="O97" s="11"/>
      <c r="P97" s="11"/>
    </row>
    <row r="98">
      <c r="A98" s="18">
        <v>20.0</v>
      </c>
      <c r="B98" s="19" t="str">
        <f>'7. Sınıf Denemeol'!C96</f>
        <v>A</v>
      </c>
      <c r="C98" s="20">
        <f>'7. Sınıf Denemeol'!D96</f>
        <v>11</v>
      </c>
      <c r="D98" s="21" t="str">
        <f t="shared" ref="D98:E98" si="96">#REF!</f>
        <v>#REF!</v>
      </c>
      <c r="E98" s="21" t="str">
        <f t="shared" si="96"/>
        <v>#REF!</v>
      </c>
      <c r="F98" s="22" t="s">
        <v>41</v>
      </c>
      <c r="G98" s="21"/>
      <c r="H98" s="23" t="str">
        <f t="shared" si="78"/>
        <v>F.7.1.1.4.</v>
      </c>
      <c r="I98" s="24" t="str">
        <f t="array" ref="I98">IFERROR(INDEX(A!D:D, MATCH(J98, A!E:E, 0)), "bulunamadı")</f>
        <v>Uzay Araştırmaları</v>
      </c>
      <c r="J98" s="22" t="str">
        <f>'7. Sınıf Denemeol'!B96</f>
        <v>F.7.1.1.4. Teleskobun yapısını ve ne işe yaradığını açıklar.</v>
      </c>
      <c r="K98" s="30"/>
      <c r="L98" s="11"/>
      <c r="M98" s="11"/>
      <c r="N98" s="11"/>
      <c r="O98" s="11"/>
      <c r="P98" s="11"/>
    </row>
  </sheetData>
  <mergeCells count="4">
    <mergeCell ref="A1:F1"/>
    <mergeCell ref="H1:I1"/>
    <mergeCell ref="A2:F2"/>
    <mergeCell ref="H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0"/>
    <col customWidth="1" min="2" max="2" width="33.78"/>
    <col customWidth="1" min="3" max="3" width="35.0"/>
    <col customWidth="1" min="4" max="4" width="21.22"/>
    <col customWidth="1" min="5" max="5" width="135.78"/>
    <col customWidth="1" min="6" max="6" width="10.56"/>
  </cols>
  <sheetData>
    <row r="1" ht="15.75" customHeight="1">
      <c r="A1" s="34" t="s">
        <v>64</v>
      </c>
      <c r="B1" s="34" t="s">
        <v>65</v>
      </c>
      <c r="C1" s="34" t="s">
        <v>66</v>
      </c>
      <c r="D1" s="34" t="s">
        <v>67</v>
      </c>
      <c r="E1" s="34" t="s">
        <v>1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75" customHeight="1">
      <c r="A2" s="36" t="s">
        <v>68</v>
      </c>
      <c r="B2" s="36" t="s">
        <v>26</v>
      </c>
      <c r="C2" s="36" t="s">
        <v>69</v>
      </c>
      <c r="D2" s="36" t="s">
        <v>70</v>
      </c>
      <c r="E2" s="36" t="s">
        <v>27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15.75" customHeight="1">
      <c r="A3" s="36" t="s">
        <v>68</v>
      </c>
      <c r="B3" s="36" t="s">
        <v>26</v>
      </c>
      <c r="C3" s="36" t="s">
        <v>69</v>
      </c>
      <c r="D3" s="36" t="s">
        <v>71</v>
      </c>
      <c r="E3" s="36" t="s">
        <v>28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5.75" customHeight="1">
      <c r="A4" s="36" t="s">
        <v>68</v>
      </c>
      <c r="B4" s="36" t="s">
        <v>26</v>
      </c>
      <c r="C4" s="36" t="s">
        <v>69</v>
      </c>
      <c r="D4" s="36" t="s">
        <v>72</v>
      </c>
      <c r="E4" s="36" t="s">
        <v>30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5.75" customHeight="1">
      <c r="A5" s="36" t="s">
        <v>68</v>
      </c>
      <c r="B5" s="36" t="s">
        <v>26</v>
      </c>
      <c r="C5" s="36" t="s">
        <v>69</v>
      </c>
      <c r="D5" s="36" t="s">
        <v>73</v>
      </c>
      <c r="E5" s="36" t="s">
        <v>29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5.75" customHeight="1">
      <c r="A6" s="36" t="s">
        <v>68</v>
      </c>
      <c r="B6" s="36" t="s">
        <v>26</v>
      </c>
      <c r="C6" s="36" t="s">
        <v>69</v>
      </c>
      <c r="D6" s="36" t="s">
        <v>74</v>
      </c>
      <c r="E6" s="36" t="s">
        <v>31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5.75" customHeight="1">
      <c r="A7" s="36" t="s">
        <v>68</v>
      </c>
      <c r="B7" s="36" t="s">
        <v>26</v>
      </c>
      <c r="C7" s="36" t="s">
        <v>69</v>
      </c>
      <c r="D7" s="36" t="s">
        <v>75</v>
      </c>
      <c r="E7" s="36" t="s">
        <v>76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5.75" customHeight="1">
      <c r="A8" s="36" t="s">
        <v>68</v>
      </c>
      <c r="B8" s="36" t="s">
        <v>26</v>
      </c>
      <c r="C8" s="36" t="s">
        <v>69</v>
      </c>
      <c r="D8" s="36" t="s">
        <v>77</v>
      </c>
      <c r="E8" s="36" t="s">
        <v>78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5.75" customHeight="1">
      <c r="A9" s="36" t="s">
        <v>68</v>
      </c>
      <c r="B9" s="36" t="s">
        <v>26</v>
      </c>
      <c r="C9" s="36" t="s">
        <v>79</v>
      </c>
      <c r="D9" s="36" t="s">
        <v>80</v>
      </c>
      <c r="E9" s="36" t="s">
        <v>81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5.75" customHeight="1">
      <c r="A10" s="36" t="s">
        <v>68</v>
      </c>
      <c r="B10" s="36" t="s">
        <v>26</v>
      </c>
      <c r="C10" s="36" t="s">
        <v>79</v>
      </c>
      <c r="D10" s="36" t="s">
        <v>82</v>
      </c>
      <c r="E10" s="36" t="s">
        <v>83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5.75" customHeight="1">
      <c r="A11" s="36" t="s">
        <v>68</v>
      </c>
      <c r="B11" s="36" t="s">
        <v>26</v>
      </c>
      <c r="C11" s="36" t="s">
        <v>79</v>
      </c>
      <c r="D11" s="36" t="s">
        <v>84</v>
      </c>
      <c r="E11" s="36" t="s">
        <v>85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5.75" customHeight="1">
      <c r="A12" s="36" t="s">
        <v>68</v>
      </c>
      <c r="B12" s="36" t="s">
        <v>26</v>
      </c>
      <c r="C12" s="36" t="s">
        <v>79</v>
      </c>
      <c r="D12" s="36" t="s">
        <v>86</v>
      </c>
      <c r="E12" s="36" t="s">
        <v>87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5.75" customHeight="1">
      <c r="A13" s="36" t="s">
        <v>68</v>
      </c>
      <c r="B13" s="36" t="s">
        <v>26</v>
      </c>
      <c r="C13" s="36" t="s">
        <v>79</v>
      </c>
      <c r="D13" s="36" t="s">
        <v>88</v>
      </c>
      <c r="E13" s="36" t="s">
        <v>89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5.75" customHeight="1">
      <c r="A14" s="36" t="s">
        <v>68</v>
      </c>
      <c r="B14" s="36" t="s">
        <v>26</v>
      </c>
      <c r="C14" s="36" t="s">
        <v>79</v>
      </c>
      <c r="D14" s="36" t="s">
        <v>90</v>
      </c>
      <c r="E14" s="36" t="s">
        <v>91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5.75" customHeight="1">
      <c r="A15" s="36" t="s">
        <v>68</v>
      </c>
      <c r="B15" s="36" t="s">
        <v>26</v>
      </c>
      <c r="C15" s="36" t="s">
        <v>92</v>
      </c>
      <c r="D15" s="36" t="s">
        <v>93</v>
      </c>
      <c r="E15" s="36" t="s">
        <v>94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5.75" customHeight="1">
      <c r="A16" s="36" t="s">
        <v>68</v>
      </c>
      <c r="B16" s="36" t="s">
        <v>26</v>
      </c>
      <c r="C16" s="36" t="s">
        <v>92</v>
      </c>
      <c r="D16" s="36" t="s">
        <v>93</v>
      </c>
      <c r="E16" s="36" t="s">
        <v>95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5.75" customHeight="1">
      <c r="A17" s="36" t="s">
        <v>68</v>
      </c>
      <c r="B17" s="36" t="s">
        <v>26</v>
      </c>
      <c r="C17" s="36" t="s">
        <v>92</v>
      </c>
      <c r="D17" s="36" t="s">
        <v>93</v>
      </c>
      <c r="E17" s="36" t="s">
        <v>96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5.75" customHeight="1">
      <c r="A18" s="36" t="s">
        <v>68</v>
      </c>
      <c r="B18" s="36" t="s">
        <v>26</v>
      </c>
      <c r="C18" s="36" t="s">
        <v>92</v>
      </c>
      <c r="D18" s="36" t="s">
        <v>97</v>
      </c>
      <c r="E18" s="36" t="s">
        <v>98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5.75" customHeight="1">
      <c r="A19" s="36" t="s">
        <v>68</v>
      </c>
      <c r="B19" s="36" t="s">
        <v>26</v>
      </c>
      <c r="C19" s="36" t="s">
        <v>92</v>
      </c>
      <c r="D19" s="36" t="s">
        <v>99</v>
      </c>
      <c r="E19" s="36" t="s">
        <v>100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.75" customHeight="1">
      <c r="A20" s="36" t="s">
        <v>68</v>
      </c>
      <c r="B20" s="36" t="s">
        <v>26</v>
      </c>
      <c r="C20" s="36" t="s">
        <v>101</v>
      </c>
      <c r="D20" s="36" t="s">
        <v>102</v>
      </c>
      <c r="E20" s="36" t="s">
        <v>103</v>
      </c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.75" customHeight="1">
      <c r="A21" s="36" t="s">
        <v>68</v>
      </c>
      <c r="B21" s="36" t="s">
        <v>26</v>
      </c>
      <c r="C21" s="36" t="s">
        <v>101</v>
      </c>
      <c r="D21" s="36" t="s">
        <v>104</v>
      </c>
      <c r="E21" s="36" t="s">
        <v>105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.75" customHeight="1">
      <c r="A22" s="36" t="s">
        <v>68</v>
      </c>
      <c r="B22" s="36" t="s">
        <v>26</v>
      </c>
      <c r="C22" s="36" t="s">
        <v>101</v>
      </c>
      <c r="D22" s="36" t="s">
        <v>106</v>
      </c>
      <c r="E22" s="36" t="s">
        <v>107</v>
      </c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.75" customHeight="1">
      <c r="A23" s="36" t="s">
        <v>68</v>
      </c>
      <c r="B23" s="36" t="s">
        <v>26</v>
      </c>
      <c r="C23" s="36" t="s">
        <v>108</v>
      </c>
      <c r="D23" s="36" t="s">
        <v>109</v>
      </c>
      <c r="E23" s="36" t="s">
        <v>110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.75" customHeight="1">
      <c r="A24" s="36" t="s">
        <v>68</v>
      </c>
      <c r="B24" s="36" t="s">
        <v>26</v>
      </c>
      <c r="C24" s="36" t="s">
        <v>108</v>
      </c>
      <c r="D24" s="36" t="s">
        <v>111</v>
      </c>
      <c r="E24" s="36" t="s">
        <v>112</v>
      </c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.75" customHeight="1">
      <c r="A25" s="36" t="s">
        <v>68</v>
      </c>
      <c r="B25" s="36" t="s">
        <v>26</v>
      </c>
      <c r="C25" s="36" t="s">
        <v>108</v>
      </c>
      <c r="D25" s="36" t="s">
        <v>113</v>
      </c>
      <c r="E25" s="36" t="s">
        <v>114</v>
      </c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.75" customHeight="1">
      <c r="A26" s="36" t="s">
        <v>68</v>
      </c>
      <c r="B26" s="36" t="s">
        <v>26</v>
      </c>
      <c r="C26" s="36" t="s">
        <v>108</v>
      </c>
      <c r="D26" s="36" t="s">
        <v>113</v>
      </c>
      <c r="E26" s="36" t="s">
        <v>115</v>
      </c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.75" customHeight="1">
      <c r="A27" s="36" t="s">
        <v>68</v>
      </c>
      <c r="B27" s="36" t="s">
        <v>32</v>
      </c>
      <c r="C27" s="36" t="s">
        <v>116</v>
      </c>
      <c r="D27" s="36" t="s">
        <v>116</v>
      </c>
      <c r="E27" s="36" t="s">
        <v>33</v>
      </c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.75" customHeight="1">
      <c r="A28" s="36" t="s">
        <v>68</v>
      </c>
      <c r="B28" s="36" t="s">
        <v>32</v>
      </c>
      <c r="C28" s="36" t="s">
        <v>116</v>
      </c>
      <c r="D28" s="36" t="s">
        <v>116</v>
      </c>
      <c r="E28" s="36" t="s">
        <v>34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.75" customHeight="1">
      <c r="A29" s="36" t="s">
        <v>68</v>
      </c>
      <c r="B29" s="36" t="s">
        <v>32</v>
      </c>
      <c r="C29" s="36" t="s">
        <v>117</v>
      </c>
      <c r="D29" s="36" t="s">
        <v>117</v>
      </c>
      <c r="E29" s="36" t="s">
        <v>118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.75" customHeight="1">
      <c r="A30" s="36" t="s">
        <v>68</v>
      </c>
      <c r="B30" s="36" t="s">
        <v>32</v>
      </c>
      <c r="C30" s="36" t="s">
        <v>117</v>
      </c>
      <c r="D30" s="36" t="s">
        <v>117</v>
      </c>
      <c r="E30" s="36" t="s">
        <v>119</v>
      </c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.75" customHeight="1">
      <c r="A31" s="36" t="s">
        <v>68</v>
      </c>
      <c r="B31" s="36" t="s">
        <v>32</v>
      </c>
      <c r="C31" s="36" t="s">
        <v>120</v>
      </c>
      <c r="D31" s="36" t="s">
        <v>120</v>
      </c>
      <c r="E31" s="36" t="s">
        <v>121</v>
      </c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75" customHeight="1">
      <c r="A32" s="36" t="s">
        <v>68</v>
      </c>
      <c r="B32" s="36" t="s">
        <v>32</v>
      </c>
      <c r="C32" s="36" t="s">
        <v>120</v>
      </c>
      <c r="D32" s="36" t="s">
        <v>120</v>
      </c>
      <c r="E32" s="36" t="s">
        <v>122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.75" customHeight="1">
      <c r="A33" s="36" t="s">
        <v>68</v>
      </c>
      <c r="B33" s="36" t="s">
        <v>32</v>
      </c>
      <c r="C33" s="36" t="s">
        <v>123</v>
      </c>
      <c r="D33" s="36" t="s">
        <v>123</v>
      </c>
      <c r="E33" s="36" t="s">
        <v>124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6" t="s">
        <v>68</v>
      </c>
      <c r="B34" s="36" t="s">
        <v>32</v>
      </c>
      <c r="C34" s="36" t="s">
        <v>123</v>
      </c>
      <c r="D34" s="36" t="s">
        <v>123</v>
      </c>
      <c r="E34" s="36" t="s">
        <v>125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6" t="s">
        <v>68</v>
      </c>
      <c r="B35" s="36" t="s">
        <v>32</v>
      </c>
      <c r="C35" s="36" t="s">
        <v>123</v>
      </c>
      <c r="D35" s="36" t="s">
        <v>123</v>
      </c>
      <c r="E35" s="36" t="s">
        <v>126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6" t="s">
        <v>68</v>
      </c>
      <c r="B36" s="36" t="s">
        <v>32</v>
      </c>
      <c r="C36" s="36" t="s">
        <v>123</v>
      </c>
      <c r="D36" s="36" t="s">
        <v>123</v>
      </c>
      <c r="E36" s="36" t="s">
        <v>127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6" t="s">
        <v>68</v>
      </c>
      <c r="B37" s="36" t="s">
        <v>32</v>
      </c>
      <c r="C37" s="36" t="s">
        <v>128</v>
      </c>
      <c r="D37" s="36" t="s">
        <v>128</v>
      </c>
      <c r="E37" s="36" t="s">
        <v>129</v>
      </c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6" t="s">
        <v>68</v>
      </c>
      <c r="B38" s="36" t="s">
        <v>32</v>
      </c>
      <c r="C38" s="36" t="s">
        <v>128</v>
      </c>
      <c r="D38" s="36" t="s">
        <v>128</v>
      </c>
      <c r="E38" s="36" t="s">
        <v>130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6" t="s">
        <v>68</v>
      </c>
      <c r="B39" s="36" t="s">
        <v>32</v>
      </c>
      <c r="C39" s="36" t="s">
        <v>128</v>
      </c>
      <c r="D39" s="36" t="s">
        <v>128</v>
      </c>
      <c r="E39" s="36" t="s">
        <v>131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6" t="s">
        <v>68</v>
      </c>
      <c r="B40" s="36" t="s">
        <v>32</v>
      </c>
      <c r="C40" s="36" t="s">
        <v>128</v>
      </c>
      <c r="D40" s="36" t="s">
        <v>128</v>
      </c>
      <c r="E40" s="36" t="s">
        <v>132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6" t="s">
        <v>68</v>
      </c>
      <c r="B41" s="36" t="s">
        <v>32</v>
      </c>
      <c r="C41" s="36" t="s">
        <v>133</v>
      </c>
      <c r="D41" s="36" t="s">
        <v>133</v>
      </c>
      <c r="E41" s="36" t="s">
        <v>134</v>
      </c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6" t="s">
        <v>68</v>
      </c>
      <c r="B42" s="36" t="s">
        <v>32</v>
      </c>
      <c r="C42" s="36" t="s">
        <v>133</v>
      </c>
      <c r="D42" s="36" t="s">
        <v>133</v>
      </c>
      <c r="E42" s="36" t="s">
        <v>135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6" t="s">
        <v>68</v>
      </c>
      <c r="B43" s="36" t="s">
        <v>32</v>
      </c>
      <c r="C43" s="36" t="s">
        <v>133</v>
      </c>
      <c r="D43" s="36" t="s">
        <v>133</v>
      </c>
      <c r="E43" s="36" t="s">
        <v>136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6" t="s">
        <v>68</v>
      </c>
      <c r="B44" s="36" t="s">
        <v>32</v>
      </c>
      <c r="C44" s="36" t="s">
        <v>137</v>
      </c>
      <c r="D44" s="36" t="s">
        <v>137</v>
      </c>
      <c r="E44" s="36" t="s">
        <v>138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6" t="s">
        <v>68</v>
      </c>
      <c r="B45" s="36" t="s">
        <v>32</v>
      </c>
      <c r="C45" s="36" t="s">
        <v>139</v>
      </c>
      <c r="D45" s="36" t="s">
        <v>139</v>
      </c>
      <c r="E45" s="36" t="s">
        <v>140</v>
      </c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6" t="s">
        <v>68</v>
      </c>
      <c r="B46" s="36" t="s">
        <v>32</v>
      </c>
      <c r="C46" s="36" t="s">
        <v>141</v>
      </c>
      <c r="D46" s="36" t="s">
        <v>141</v>
      </c>
      <c r="E46" s="36" t="s">
        <v>142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6" t="s">
        <v>68</v>
      </c>
      <c r="B47" s="36" t="s">
        <v>32</v>
      </c>
      <c r="C47" s="36" t="s">
        <v>141</v>
      </c>
      <c r="D47" s="36" t="s">
        <v>141</v>
      </c>
      <c r="E47" s="36" t="s">
        <v>143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6" t="s">
        <v>68</v>
      </c>
      <c r="B48" s="36" t="s">
        <v>32</v>
      </c>
      <c r="C48" s="36" t="s">
        <v>141</v>
      </c>
      <c r="D48" s="36" t="s">
        <v>141</v>
      </c>
      <c r="E48" s="36" t="s">
        <v>144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6" t="s">
        <v>68</v>
      </c>
      <c r="B49" s="36" t="s">
        <v>32</v>
      </c>
      <c r="C49" s="36" t="s">
        <v>145</v>
      </c>
      <c r="D49" s="36" t="s">
        <v>145</v>
      </c>
      <c r="E49" s="36" t="s">
        <v>146</v>
      </c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6" t="s">
        <v>68</v>
      </c>
      <c r="B50" s="36" t="s">
        <v>32</v>
      </c>
      <c r="C50" s="36" t="s">
        <v>145</v>
      </c>
      <c r="D50" s="36" t="s">
        <v>145</v>
      </c>
      <c r="E50" s="36" t="s">
        <v>147</v>
      </c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6" t="s">
        <v>68</v>
      </c>
      <c r="B51" s="36" t="s">
        <v>32</v>
      </c>
      <c r="C51" s="36" t="s">
        <v>145</v>
      </c>
      <c r="D51" s="36" t="s">
        <v>145</v>
      </c>
      <c r="E51" s="36" t="s">
        <v>148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6" t="s">
        <v>68</v>
      </c>
      <c r="B52" s="36" t="s">
        <v>41</v>
      </c>
      <c r="C52" s="36" t="s">
        <v>149</v>
      </c>
      <c r="D52" s="36" t="s">
        <v>150</v>
      </c>
      <c r="E52" s="36" t="s">
        <v>42</v>
      </c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6" t="s">
        <v>68</v>
      </c>
      <c r="B53" s="36" t="s">
        <v>41</v>
      </c>
      <c r="C53" s="36" t="s">
        <v>149</v>
      </c>
      <c r="D53" s="36" t="s">
        <v>150</v>
      </c>
      <c r="E53" s="36" t="s">
        <v>46</v>
      </c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6" t="s">
        <v>68</v>
      </c>
      <c r="B54" s="36" t="s">
        <v>41</v>
      </c>
      <c r="C54" s="36" t="s">
        <v>149</v>
      </c>
      <c r="D54" s="36" t="s">
        <v>150</v>
      </c>
      <c r="E54" s="36" t="s">
        <v>44</v>
      </c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6" t="s">
        <v>68</v>
      </c>
      <c r="B55" s="36" t="s">
        <v>41</v>
      </c>
      <c r="C55" s="36" t="s">
        <v>149</v>
      </c>
      <c r="D55" s="36" t="s">
        <v>150</v>
      </c>
      <c r="E55" s="36" t="s">
        <v>48</v>
      </c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6" t="s">
        <v>68</v>
      </c>
      <c r="B56" s="36" t="s">
        <v>41</v>
      </c>
      <c r="C56" s="36" t="s">
        <v>149</v>
      </c>
      <c r="D56" s="36" t="s">
        <v>150</v>
      </c>
      <c r="E56" s="36" t="s">
        <v>47</v>
      </c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6" t="s">
        <v>68</v>
      </c>
      <c r="B57" s="36" t="s">
        <v>41</v>
      </c>
      <c r="C57" s="36" t="s">
        <v>149</v>
      </c>
      <c r="D57" s="36" t="s">
        <v>150</v>
      </c>
      <c r="E57" s="36" t="s">
        <v>151</v>
      </c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6" t="s">
        <v>68</v>
      </c>
      <c r="B58" s="36" t="s">
        <v>41</v>
      </c>
      <c r="C58" s="36" t="s">
        <v>149</v>
      </c>
      <c r="D58" s="36" t="s">
        <v>152</v>
      </c>
      <c r="E58" s="36" t="s">
        <v>43</v>
      </c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6" t="s">
        <v>68</v>
      </c>
      <c r="B59" s="36" t="s">
        <v>41</v>
      </c>
      <c r="C59" s="36" t="s">
        <v>149</v>
      </c>
      <c r="D59" s="36" t="s">
        <v>152</v>
      </c>
      <c r="E59" s="36" t="s">
        <v>45</v>
      </c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6" t="s">
        <v>68</v>
      </c>
      <c r="B60" s="36" t="s">
        <v>41</v>
      </c>
      <c r="C60" s="36" t="s">
        <v>149</v>
      </c>
      <c r="D60" s="36" t="s">
        <v>152</v>
      </c>
      <c r="E60" s="36" t="s">
        <v>153</v>
      </c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6" t="s">
        <v>68</v>
      </c>
      <c r="B61" s="36" t="s">
        <v>41</v>
      </c>
      <c r="C61" s="36" t="s">
        <v>149</v>
      </c>
      <c r="D61" s="36" t="s">
        <v>152</v>
      </c>
      <c r="E61" s="36" t="s">
        <v>154</v>
      </c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6" t="s">
        <v>68</v>
      </c>
      <c r="B62" s="36" t="s">
        <v>41</v>
      </c>
      <c r="C62" s="36" t="s">
        <v>155</v>
      </c>
      <c r="D62" s="36" t="s">
        <v>156</v>
      </c>
      <c r="E62" s="36" t="s">
        <v>157</v>
      </c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6" t="s">
        <v>68</v>
      </c>
      <c r="B63" s="36" t="s">
        <v>41</v>
      </c>
      <c r="C63" s="36" t="s">
        <v>155</v>
      </c>
      <c r="D63" s="36" t="s">
        <v>156</v>
      </c>
      <c r="E63" s="36" t="s">
        <v>158</v>
      </c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6" t="s">
        <v>68</v>
      </c>
      <c r="B64" s="36" t="s">
        <v>41</v>
      </c>
      <c r="C64" s="36" t="s">
        <v>155</v>
      </c>
      <c r="D64" s="36" t="s">
        <v>156</v>
      </c>
      <c r="E64" s="36" t="s">
        <v>159</v>
      </c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6" t="s">
        <v>68</v>
      </c>
      <c r="B65" s="36" t="s">
        <v>41</v>
      </c>
      <c r="C65" s="36" t="s">
        <v>155</v>
      </c>
      <c r="D65" s="36" t="s">
        <v>160</v>
      </c>
      <c r="E65" s="36" t="s">
        <v>161</v>
      </c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6" t="s">
        <v>68</v>
      </c>
      <c r="B66" s="36" t="s">
        <v>41</v>
      </c>
      <c r="C66" s="36" t="s">
        <v>155</v>
      </c>
      <c r="D66" s="36" t="s">
        <v>160</v>
      </c>
      <c r="E66" s="36" t="s">
        <v>162</v>
      </c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6" t="s">
        <v>68</v>
      </c>
      <c r="B67" s="36" t="s">
        <v>41</v>
      </c>
      <c r="C67" s="36" t="s">
        <v>155</v>
      </c>
      <c r="D67" s="36" t="s">
        <v>163</v>
      </c>
      <c r="E67" s="36" t="s">
        <v>164</v>
      </c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6" t="s">
        <v>68</v>
      </c>
      <c r="B68" s="36" t="s">
        <v>41</v>
      </c>
      <c r="C68" s="36" t="s">
        <v>155</v>
      </c>
      <c r="D68" s="36" t="s">
        <v>163</v>
      </c>
      <c r="E68" s="36" t="s">
        <v>165</v>
      </c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6" t="s">
        <v>68</v>
      </c>
      <c r="B69" s="36" t="s">
        <v>41</v>
      </c>
      <c r="C69" s="36" t="s">
        <v>155</v>
      </c>
      <c r="D69" s="36" t="s">
        <v>163</v>
      </c>
      <c r="E69" s="36" t="s">
        <v>166</v>
      </c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6" t="s">
        <v>68</v>
      </c>
      <c r="B70" s="36" t="s">
        <v>41</v>
      </c>
      <c r="C70" s="36" t="s">
        <v>167</v>
      </c>
      <c r="D70" s="36" t="s">
        <v>168</v>
      </c>
      <c r="E70" s="36" t="s">
        <v>169</v>
      </c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6" t="s">
        <v>68</v>
      </c>
      <c r="B71" s="36" t="s">
        <v>41</v>
      </c>
      <c r="C71" s="36" t="s">
        <v>167</v>
      </c>
      <c r="D71" s="36" t="s">
        <v>168</v>
      </c>
      <c r="E71" s="36" t="s">
        <v>170</v>
      </c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6" t="s">
        <v>68</v>
      </c>
      <c r="B72" s="36" t="s">
        <v>41</v>
      </c>
      <c r="C72" s="36" t="s">
        <v>167</v>
      </c>
      <c r="D72" s="36" t="s">
        <v>168</v>
      </c>
      <c r="E72" s="37" t="s">
        <v>171</v>
      </c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6" t="s">
        <v>68</v>
      </c>
      <c r="B73" s="36" t="s">
        <v>41</v>
      </c>
      <c r="C73" s="36" t="s">
        <v>167</v>
      </c>
      <c r="D73" s="36" t="s">
        <v>172</v>
      </c>
      <c r="E73" s="36" t="s">
        <v>173</v>
      </c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6" t="s">
        <v>68</v>
      </c>
      <c r="B74" s="36" t="s">
        <v>41</v>
      </c>
      <c r="C74" s="36" t="s">
        <v>167</v>
      </c>
      <c r="D74" s="36" t="s">
        <v>172</v>
      </c>
      <c r="E74" s="36" t="s">
        <v>174</v>
      </c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6" t="s">
        <v>68</v>
      </c>
      <c r="B75" s="36" t="s">
        <v>41</v>
      </c>
      <c r="C75" s="36" t="s">
        <v>167</v>
      </c>
      <c r="D75" s="36" t="s">
        <v>175</v>
      </c>
      <c r="E75" s="36" t="s">
        <v>176</v>
      </c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6" t="s">
        <v>68</v>
      </c>
      <c r="B76" s="36" t="s">
        <v>41</v>
      </c>
      <c r="C76" s="36" t="s">
        <v>167</v>
      </c>
      <c r="D76" s="36" t="s">
        <v>175</v>
      </c>
      <c r="E76" s="36" t="s">
        <v>177</v>
      </c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6" t="s">
        <v>68</v>
      </c>
      <c r="B77" s="36" t="s">
        <v>41</v>
      </c>
      <c r="C77" s="36" t="s">
        <v>167</v>
      </c>
      <c r="D77" s="36" t="s">
        <v>175</v>
      </c>
      <c r="E77" s="36" t="s">
        <v>178</v>
      </c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6" t="s">
        <v>68</v>
      </c>
      <c r="B78" s="36" t="s">
        <v>41</v>
      </c>
      <c r="C78" s="36" t="s">
        <v>179</v>
      </c>
      <c r="D78" s="36" t="s">
        <v>180</v>
      </c>
      <c r="E78" s="36" t="s">
        <v>181</v>
      </c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6" t="s">
        <v>68</v>
      </c>
      <c r="B79" s="36" t="s">
        <v>41</v>
      </c>
      <c r="C79" s="36" t="s">
        <v>179</v>
      </c>
      <c r="D79" s="36" t="s">
        <v>180</v>
      </c>
      <c r="E79" s="36" t="s">
        <v>182</v>
      </c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6" t="s">
        <v>68</v>
      </c>
      <c r="B80" s="36" t="s">
        <v>41</v>
      </c>
      <c r="C80" s="36" t="s">
        <v>179</v>
      </c>
      <c r="D80" s="36" t="s">
        <v>180</v>
      </c>
      <c r="E80" s="36" t="s">
        <v>183</v>
      </c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6" t="s">
        <v>68</v>
      </c>
      <c r="B81" s="36" t="s">
        <v>41</v>
      </c>
      <c r="C81" s="36" t="s">
        <v>179</v>
      </c>
      <c r="D81" s="36" t="s">
        <v>180</v>
      </c>
      <c r="E81" s="36" t="s">
        <v>184</v>
      </c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6" t="s">
        <v>68</v>
      </c>
      <c r="B82" s="36" t="s">
        <v>41</v>
      </c>
      <c r="C82" s="36" t="s">
        <v>179</v>
      </c>
      <c r="D82" s="36" t="s">
        <v>185</v>
      </c>
      <c r="E82" s="36" t="s">
        <v>186</v>
      </c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6" t="s">
        <v>68</v>
      </c>
      <c r="B83" s="36" t="s">
        <v>41</v>
      </c>
      <c r="C83" s="36" t="s">
        <v>179</v>
      </c>
      <c r="D83" s="36" t="s">
        <v>185</v>
      </c>
      <c r="E83" s="36" t="s">
        <v>187</v>
      </c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6" t="s">
        <v>68</v>
      </c>
      <c r="B84" s="36" t="s">
        <v>41</v>
      </c>
      <c r="C84" s="36" t="s">
        <v>179</v>
      </c>
      <c r="D84" s="36" t="s">
        <v>185</v>
      </c>
      <c r="E84" s="36" t="s">
        <v>188</v>
      </c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6" t="s">
        <v>68</v>
      </c>
      <c r="B85" s="36" t="s">
        <v>41</v>
      </c>
      <c r="C85" s="36" t="s">
        <v>179</v>
      </c>
      <c r="D85" s="36" t="s">
        <v>189</v>
      </c>
      <c r="E85" s="36" t="s">
        <v>190</v>
      </c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6" t="s">
        <v>68</v>
      </c>
      <c r="B86" s="36" t="s">
        <v>41</v>
      </c>
      <c r="C86" s="36" t="s">
        <v>179</v>
      </c>
      <c r="D86" s="36" t="s">
        <v>189</v>
      </c>
      <c r="E86" s="36" t="s">
        <v>191</v>
      </c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6" t="s">
        <v>68</v>
      </c>
      <c r="B87" s="36" t="s">
        <v>41</v>
      </c>
      <c r="C87" s="36" t="s">
        <v>179</v>
      </c>
      <c r="D87" s="36" t="s">
        <v>189</v>
      </c>
      <c r="E87" s="36" t="s">
        <v>192</v>
      </c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6" t="s">
        <v>68</v>
      </c>
      <c r="B88" s="36" t="s">
        <v>41</v>
      </c>
      <c r="C88" s="36" t="s">
        <v>179</v>
      </c>
      <c r="D88" s="36" t="s">
        <v>193</v>
      </c>
      <c r="E88" s="36" t="s">
        <v>194</v>
      </c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6" t="s">
        <v>68</v>
      </c>
      <c r="B89" s="36" t="s">
        <v>41</v>
      </c>
      <c r="C89" s="36" t="s">
        <v>179</v>
      </c>
      <c r="D89" s="36" t="s">
        <v>195</v>
      </c>
      <c r="E89" s="36" t="s">
        <v>196</v>
      </c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6" t="s">
        <v>68</v>
      </c>
      <c r="B90" s="36" t="s">
        <v>41</v>
      </c>
      <c r="C90" s="36" t="s">
        <v>179</v>
      </c>
      <c r="D90" s="36" t="s">
        <v>195</v>
      </c>
      <c r="E90" s="36" t="s">
        <v>197</v>
      </c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6" t="s">
        <v>68</v>
      </c>
      <c r="B91" s="36" t="s">
        <v>41</v>
      </c>
      <c r="C91" s="36" t="s">
        <v>179</v>
      </c>
      <c r="D91" s="36" t="s">
        <v>195</v>
      </c>
      <c r="E91" s="36" t="s">
        <v>198</v>
      </c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6" t="s">
        <v>68</v>
      </c>
      <c r="B92" s="36" t="s">
        <v>41</v>
      </c>
      <c r="C92" s="36" t="s">
        <v>179</v>
      </c>
      <c r="D92" s="36" t="s">
        <v>195</v>
      </c>
      <c r="E92" s="36" t="s">
        <v>199</v>
      </c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6" t="s">
        <v>68</v>
      </c>
      <c r="B93" s="36" t="s">
        <v>41</v>
      </c>
      <c r="C93" s="36" t="s">
        <v>179</v>
      </c>
      <c r="D93" s="36" t="s">
        <v>195</v>
      </c>
      <c r="E93" s="36" t="s">
        <v>200</v>
      </c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6" t="s">
        <v>68</v>
      </c>
      <c r="B94" s="36" t="s">
        <v>41</v>
      </c>
      <c r="C94" s="36" t="s">
        <v>201</v>
      </c>
      <c r="D94" s="36" t="s">
        <v>202</v>
      </c>
      <c r="E94" s="36" t="s">
        <v>203</v>
      </c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6" t="s">
        <v>68</v>
      </c>
      <c r="B95" s="36" t="s">
        <v>41</v>
      </c>
      <c r="C95" s="36" t="s">
        <v>201</v>
      </c>
      <c r="D95" s="36" t="s">
        <v>202</v>
      </c>
      <c r="E95" s="36" t="s">
        <v>204</v>
      </c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6" t="s">
        <v>68</v>
      </c>
      <c r="B96" s="36" t="s">
        <v>41</v>
      </c>
      <c r="C96" s="36" t="s">
        <v>201</v>
      </c>
      <c r="D96" s="36" t="s">
        <v>202</v>
      </c>
      <c r="E96" s="36" t="s">
        <v>205</v>
      </c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6" t="s">
        <v>68</v>
      </c>
      <c r="B97" s="36" t="s">
        <v>41</v>
      </c>
      <c r="C97" s="36" t="s">
        <v>201</v>
      </c>
      <c r="D97" s="36" t="s">
        <v>202</v>
      </c>
      <c r="E97" s="36" t="s">
        <v>206</v>
      </c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6" t="s">
        <v>68</v>
      </c>
      <c r="B98" s="36" t="s">
        <v>41</v>
      </c>
      <c r="C98" s="36" t="s">
        <v>201</v>
      </c>
      <c r="D98" s="36" t="s">
        <v>202</v>
      </c>
      <c r="E98" s="36" t="s">
        <v>207</v>
      </c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6" t="s">
        <v>68</v>
      </c>
      <c r="B99" s="36" t="s">
        <v>41</v>
      </c>
      <c r="C99" s="36" t="s">
        <v>201</v>
      </c>
      <c r="D99" s="36" t="s">
        <v>208</v>
      </c>
      <c r="E99" s="36" t="s">
        <v>209</v>
      </c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6" t="s">
        <v>68</v>
      </c>
      <c r="B100" s="36" t="s">
        <v>41</v>
      </c>
      <c r="C100" s="36" t="s">
        <v>201</v>
      </c>
      <c r="D100" s="36" t="s">
        <v>208</v>
      </c>
      <c r="E100" s="36" t="s">
        <v>210</v>
      </c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6" t="s">
        <v>68</v>
      </c>
      <c r="B101" s="36" t="s">
        <v>41</v>
      </c>
      <c r="C101" s="36" t="s">
        <v>201</v>
      </c>
      <c r="D101" s="36" t="s">
        <v>211</v>
      </c>
      <c r="E101" s="36" t="s">
        <v>212</v>
      </c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6" t="s">
        <v>68</v>
      </c>
      <c r="B102" s="36" t="s">
        <v>41</v>
      </c>
      <c r="C102" s="36" t="s">
        <v>201</v>
      </c>
      <c r="D102" s="36" t="s">
        <v>211</v>
      </c>
      <c r="E102" s="36" t="s">
        <v>213</v>
      </c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6" t="s">
        <v>68</v>
      </c>
      <c r="B103" s="36" t="s">
        <v>41</v>
      </c>
      <c r="C103" s="36" t="s">
        <v>201</v>
      </c>
      <c r="D103" s="36" t="s">
        <v>211</v>
      </c>
      <c r="E103" s="36" t="s">
        <v>214</v>
      </c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6" t="s">
        <v>68</v>
      </c>
      <c r="B104" s="36" t="s">
        <v>41</v>
      </c>
      <c r="C104" s="36" t="s">
        <v>201</v>
      </c>
      <c r="D104" s="36" t="s">
        <v>211</v>
      </c>
      <c r="E104" s="36" t="s">
        <v>215</v>
      </c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6" t="s">
        <v>68</v>
      </c>
      <c r="B105" s="36" t="s">
        <v>41</v>
      </c>
      <c r="C105" s="36" t="s">
        <v>201</v>
      </c>
      <c r="D105" s="36" t="s">
        <v>211</v>
      </c>
      <c r="E105" s="36" t="s">
        <v>216</v>
      </c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6" t="s">
        <v>68</v>
      </c>
      <c r="B106" s="36" t="s">
        <v>41</v>
      </c>
      <c r="C106" s="36" t="s">
        <v>217</v>
      </c>
      <c r="D106" s="36" t="s">
        <v>218</v>
      </c>
      <c r="E106" s="36" t="s">
        <v>219</v>
      </c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6" t="s">
        <v>68</v>
      </c>
      <c r="B107" s="36" t="s">
        <v>41</v>
      </c>
      <c r="C107" s="36" t="s">
        <v>217</v>
      </c>
      <c r="D107" s="36" t="s">
        <v>218</v>
      </c>
      <c r="E107" s="36" t="s">
        <v>220</v>
      </c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6" t="s">
        <v>68</v>
      </c>
      <c r="B108" s="36" t="s">
        <v>41</v>
      </c>
      <c r="C108" s="36" t="s">
        <v>217</v>
      </c>
      <c r="D108" s="36" t="s">
        <v>218</v>
      </c>
      <c r="E108" s="36" t="s">
        <v>221</v>
      </c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6" t="s">
        <v>68</v>
      </c>
      <c r="B109" s="36" t="s">
        <v>41</v>
      </c>
      <c r="C109" s="36" t="s">
        <v>217</v>
      </c>
      <c r="D109" s="36" t="s">
        <v>222</v>
      </c>
      <c r="E109" s="36" t="s">
        <v>223</v>
      </c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6" t="s">
        <v>68</v>
      </c>
      <c r="B110" s="36" t="s">
        <v>41</v>
      </c>
      <c r="C110" s="36" t="s">
        <v>217</v>
      </c>
      <c r="D110" s="36" t="s">
        <v>222</v>
      </c>
      <c r="E110" s="36" t="s">
        <v>224</v>
      </c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6" t="s">
        <v>68</v>
      </c>
      <c r="B111" s="36" t="s">
        <v>41</v>
      </c>
      <c r="C111" s="36" t="s">
        <v>217</v>
      </c>
      <c r="D111" s="36" t="s">
        <v>222</v>
      </c>
      <c r="E111" s="36" t="s">
        <v>225</v>
      </c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6" t="s">
        <v>68</v>
      </c>
      <c r="B112" s="36" t="s">
        <v>41</v>
      </c>
      <c r="C112" s="36" t="s">
        <v>217</v>
      </c>
      <c r="D112" s="36" t="s">
        <v>222</v>
      </c>
      <c r="E112" s="36" t="s">
        <v>226</v>
      </c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6" t="s">
        <v>68</v>
      </c>
      <c r="B113" s="36" t="s">
        <v>41</v>
      </c>
      <c r="C113" s="36" t="s">
        <v>227</v>
      </c>
      <c r="D113" s="36" t="s">
        <v>228</v>
      </c>
      <c r="E113" s="36" t="s">
        <v>229</v>
      </c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6" t="s">
        <v>68</v>
      </c>
      <c r="B114" s="36" t="s">
        <v>41</v>
      </c>
      <c r="C114" s="36" t="s">
        <v>227</v>
      </c>
      <c r="D114" s="36" t="s">
        <v>228</v>
      </c>
      <c r="E114" s="36" t="s">
        <v>230</v>
      </c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6" t="s">
        <v>68</v>
      </c>
      <c r="B115" s="36" t="s">
        <v>41</v>
      </c>
      <c r="C115" s="36" t="s">
        <v>227</v>
      </c>
      <c r="D115" s="36" t="s">
        <v>228</v>
      </c>
      <c r="E115" s="36" t="s">
        <v>231</v>
      </c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6" t="s">
        <v>68</v>
      </c>
      <c r="B116" s="36" t="s">
        <v>41</v>
      </c>
      <c r="C116" s="36" t="s">
        <v>227</v>
      </c>
      <c r="D116" s="36" t="s">
        <v>228</v>
      </c>
      <c r="E116" s="36" t="s">
        <v>232</v>
      </c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6" t="s">
        <v>68</v>
      </c>
      <c r="B117" s="36" t="s">
        <v>41</v>
      </c>
      <c r="C117" s="36" t="s">
        <v>227</v>
      </c>
      <c r="D117" s="36" t="s">
        <v>228</v>
      </c>
      <c r="E117" s="36" t="s">
        <v>233</v>
      </c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6" t="s">
        <v>68</v>
      </c>
      <c r="B118" s="36" t="s">
        <v>41</v>
      </c>
      <c r="C118" s="36" t="s">
        <v>227</v>
      </c>
      <c r="D118" s="36" t="s">
        <v>228</v>
      </c>
      <c r="E118" s="36" t="s">
        <v>234</v>
      </c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6" t="s">
        <v>68</v>
      </c>
      <c r="B119" s="36" t="s">
        <v>35</v>
      </c>
      <c r="C119" s="36" t="s">
        <v>235</v>
      </c>
      <c r="D119" s="36" t="s">
        <v>236</v>
      </c>
      <c r="E119" s="36" t="s">
        <v>36</v>
      </c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6" t="s">
        <v>68</v>
      </c>
      <c r="B120" s="36" t="s">
        <v>35</v>
      </c>
      <c r="C120" s="36" t="s">
        <v>235</v>
      </c>
      <c r="D120" s="36" t="s">
        <v>236</v>
      </c>
      <c r="E120" s="36" t="s">
        <v>37</v>
      </c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6" t="s">
        <v>68</v>
      </c>
      <c r="B121" s="36" t="s">
        <v>35</v>
      </c>
      <c r="C121" s="36" t="s">
        <v>235</v>
      </c>
      <c r="D121" s="36" t="s">
        <v>236</v>
      </c>
      <c r="E121" s="36" t="s">
        <v>38</v>
      </c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6" t="s">
        <v>68</v>
      </c>
      <c r="B122" s="36" t="s">
        <v>35</v>
      </c>
      <c r="C122" s="36" t="s">
        <v>235</v>
      </c>
      <c r="D122" s="36" t="s">
        <v>236</v>
      </c>
      <c r="E122" s="36" t="s">
        <v>40</v>
      </c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6" t="s">
        <v>68</v>
      </c>
      <c r="B123" s="36" t="s">
        <v>35</v>
      </c>
      <c r="C123" s="36" t="s">
        <v>235</v>
      </c>
      <c r="D123" s="36" t="s">
        <v>236</v>
      </c>
      <c r="E123" s="36" t="s">
        <v>39</v>
      </c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6" t="s">
        <v>68</v>
      </c>
      <c r="B124" s="36" t="s">
        <v>35</v>
      </c>
      <c r="C124" s="36" t="s">
        <v>235</v>
      </c>
      <c r="D124" s="36" t="s">
        <v>237</v>
      </c>
      <c r="E124" s="36" t="s">
        <v>238</v>
      </c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6" t="s">
        <v>68</v>
      </c>
      <c r="B125" s="36" t="s">
        <v>35</v>
      </c>
      <c r="C125" s="36" t="s">
        <v>235</v>
      </c>
      <c r="D125" s="36" t="s">
        <v>237</v>
      </c>
      <c r="E125" s="36" t="s">
        <v>239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6" t="s">
        <v>68</v>
      </c>
      <c r="B126" s="36" t="s">
        <v>35</v>
      </c>
      <c r="C126" s="36" t="s">
        <v>235</v>
      </c>
      <c r="D126" s="36" t="s">
        <v>237</v>
      </c>
      <c r="E126" s="36" t="s">
        <v>240</v>
      </c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6" t="s">
        <v>68</v>
      </c>
      <c r="B127" s="36" t="s">
        <v>35</v>
      </c>
      <c r="C127" s="36" t="s">
        <v>235</v>
      </c>
      <c r="D127" s="36" t="s">
        <v>237</v>
      </c>
      <c r="E127" s="36" t="s">
        <v>241</v>
      </c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6" t="s">
        <v>68</v>
      </c>
      <c r="B128" s="36" t="s">
        <v>35</v>
      </c>
      <c r="C128" s="36" t="s">
        <v>235</v>
      </c>
      <c r="D128" s="36" t="s">
        <v>242</v>
      </c>
      <c r="E128" s="36" t="s">
        <v>243</v>
      </c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6" t="s">
        <v>68</v>
      </c>
      <c r="B129" s="36" t="s">
        <v>35</v>
      </c>
      <c r="C129" s="36" t="s">
        <v>235</v>
      </c>
      <c r="D129" s="36" t="s">
        <v>242</v>
      </c>
      <c r="E129" s="36" t="s">
        <v>244</v>
      </c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6" t="s">
        <v>68</v>
      </c>
      <c r="B130" s="36" t="s">
        <v>35</v>
      </c>
      <c r="C130" s="36" t="s">
        <v>235</v>
      </c>
      <c r="D130" s="36" t="s">
        <v>242</v>
      </c>
      <c r="E130" s="36" t="s">
        <v>245</v>
      </c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6" t="s">
        <v>68</v>
      </c>
      <c r="B131" s="36" t="s">
        <v>35</v>
      </c>
      <c r="C131" s="36" t="s">
        <v>235</v>
      </c>
      <c r="D131" s="36" t="s">
        <v>242</v>
      </c>
      <c r="E131" s="36" t="s">
        <v>246</v>
      </c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6" t="s">
        <v>68</v>
      </c>
      <c r="B132" s="36" t="s">
        <v>35</v>
      </c>
      <c r="C132" s="36" t="s">
        <v>235</v>
      </c>
      <c r="D132" s="36" t="s">
        <v>242</v>
      </c>
      <c r="E132" s="36" t="s">
        <v>247</v>
      </c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6" t="s">
        <v>68</v>
      </c>
      <c r="B133" s="36" t="s">
        <v>35</v>
      </c>
      <c r="C133" s="36" t="s">
        <v>235</v>
      </c>
      <c r="D133" s="36" t="s">
        <v>248</v>
      </c>
      <c r="E133" s="36" t="s">
        <v>249</v>
      </c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6" t="s">
        <v>68</v>
      </c>
      <c r="B134" s="36" t="s">
        <v>35</v>
      </c>
      <c r="C134" s="36" t="s">
        <v>235</v>
      </c>
      <c r="D134" s="36" t="s">
        <v>248</v>
      </c>
      <c r="E134" s="36" t="s">
        <v>250</v>
      </c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6" t="s">
        <v>68</v>
      </c>
      <c r="B135" s="36" t="s">
        <v>35</v>
      </c>
      <c r="C135" s="36" t="s">
        <v>235</v>
      </c>
      <c r="D135" s="36" t="s">
        <v>248</v>
      </c>
      <c r="E135" s="36" t="s">
        <v>251</v>
      </c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6" t="s">
        <v>68</v>
      </c>
      <c r="B136" s="36" t="s">
        <v>35</v>
      </c>
      <c r="C136" s="36" t="s">
        <v>235</v>
      </c>
      <c r="D136" s="36" t="s">
        <v>248</v>
      </c>
      <c r="E136" s="36" t="s">
        <v>252</v>
      </c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6" t="s">
        <v>68</v>
      </c>
      <c r="B137" s="36" t="s">
        <v>35</v>
      </c>
      <c r="C137" s="36" t="s">
        <v>235</v>
      </c>
      <c r="D137" s="36" t="s">
        <v>248</v>
      </c>
      <c r="E137" s="36" t="s">
        <v>253</v>
      </c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6" t="s">
        <v>68</v>
      </c>
      <c r="B138" s="36" t="s">
        <v>35</v>
      </c>
      <c r="C138" s="36" t="s">
        <v>235</v>
      </c>
      <c r="D138" s="36" t="s">
        <v>248</v>
      </c>
      <c r="E138" s="36" t="s">
        <v>254</v>
      </c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6" t="s">
        <v>68</v>
      </c>
      <c r="B139" s="36" t="s">
        <v>35</v>
      </c>
      <c r="C139" s="36" t="s">
        <v>235</v>
      </c>
      <c r="D139" s="36" t="s">
        <v>248</v>
      </c>
      <c r="E139" s="36" t="s">
        <v>255</v>
      </c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6" t="s">
        <v>68</v>
      </c>
      <c r="B140" s="36" t="s">
        <v>35</v>
      </c>
      <c r="C140" s="36" t="s">
        <v>235</v>
      </c>
      <c r="D140" s="36" t="s">
        <v>256</v>
      </c>
      <c r="E140" s="36" t="s">
        <v>257</v>
      </c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6" t="s">
        <v>68</v>
      </c>
      <c r="B141" s="36" t="s">
        <v>35</v>
      </c>
      <c r="C141" s="36" t="s">
        <v>235</v>
      </c>
      <c r="D141" s="36" t="s">
        <v>256</v>
      </c>
      <c r="E141" s="36" t="s">
        <v>258</v>
      </c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6" t="s">
        <v>68</v>
      </c>
      <c r="B142" s="36" t="s">
        <v>35</v>
      </c>
      <c r="C142" s="36" t="s">
        <v>235</v>
      </c>
      <c r="D142" s="36" t="s">
        <v>256</v>
      </c>
      <c r="E142" s="36" t="s">
        <v>259</v>
      </c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6" t="s">
        <v>68</v>
      </c>
      <c r="B143" s="36" t="s">
        <v>35</v>
      </c>
      <c r="C143" s="36" t="s">
        <v>235</v>
      </c>
      <c r="D143" s="36" t="s">
        <v>256</v>
      </c>
      <c r="E143" s="36" t="s">
        <v>260</v>
      </c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6" t="s">
        <v>68</v>
      </c>
      <c r="B144" s="36" t="s">
        <v>35</v>
      </c>
      <c r="C144" s="36" t="s">
        <v>261</v>
      </c>
      <c r="D144" s="36" t="s">
        <v>262</v>
      </c>
      <c r="E144" s="36" t="s">
        <v>263</v>
      </c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6" t="s">
        <v>68</v>
      </c>
      <c r="B145" s="36" t="s">
        <v>35</v>
      </c>
      <c r="C145" s="36" t="s">
        <v>261</v>
      </c>
      <c r="D145" s="36" t="s">
        <v>262</v>
      </c>
      <c r="E145" s="36" t="s">
        <v>264</v>
      </c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6" t="s">
        <v>68</v>
      </c>
      <c r="B146" s="36" t="s">
        <v>35</v>
      </c>
      <c r="C146" s="36" t="s">
        <v>261</v>
      </c>
      <c r="D146" s="36" t="s">
        <v>262</v>
      </c>
      <c r="E146" s="36" t="s">
        <v>265</v>
      </c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6" t="s">
        <v>68</v>
      </c>
      <c r="B147" s="36" t="s">
        <v>35</v>
      </c>
      <c r="C147" s="36" t="s">
        <v>261</v>
      </c>
      <c r="D147" s="36" t="s">
        <v>266</v>
      </c>
      <c r="E147" s="36" t="s">
        <v>267</v>
      </c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6" t="s">
        <v>68</v>
      </c>
      <c r="B148" s="36" t="s">
        <v>35</v>
      </c>
      <c r="C148" s="36" t="s">
        <v>261</v>
      </c>
      <c r="D148" s="36" t="s">
        <v>266</v>
      </c>
      <c r="E148" s="36" t="s">
        <v>268</v>
      </c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6" t="s">
        <v>68</v>
      </c>
      <c r="B149" s="36" t="s">
        <v>35</v>
      </c>
      <c r="C149" s="36" t="s">
        <v>261</v>
      </c>
      <c r="D149" s="36" t="s">
        <v>266</v>
      </c>
      <c r="E149" s="36" t="s">
        <v>269</v>
      </c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6" t="s">
        <v>68</v>
      </c>
      <c r="B150" s="36" t="s">
        <v>35</v>
      </c>
      <c r="C150" s="36" t="s">
        <v>261</v>
      </c>
      <c r="D150" s="36" t="s">
        <v>266</v>
      </c>
      <c r="E150" s="36" t="s">
        <v>270</v>
      </c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6" t="s">
        <v>68</v>
      </c>
      <c r="B151" s="36" t="s">
        <v>35</v>
      </c>
      <c r="C151" s="36" t="s">
        <v>271</v>
      </c>
      <c r="D151" s="36" t="s">
        <v>272</v>
      </c>
      <c r="E151" s="36" t="s">
        <v>273</v>
      </c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6" t="s">
        <v>68</v>
      </c>
      <c r="B152" s="36" t="s">
        <v>35</v>
      </c>
      <c r="C152" s="36" t="s">
        <v>271</v>
      </c>
      <c r="D152" s="36" t="s">
        <v>272</v>
      </c>
      <c r="E152" s="36" t="s">
        <v>274</v>
      </c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6" t="s">
        <v>68</v>
      </c>
      <c r="B153" s="36" t="s">
        <v>35</v>
      </c>
      <c r="C153" s="36" t="s">
        <v>271</v>
      </c>
      <c r="D153" s="36" t="s">
        <v>275</v>
      </c>
      <c r="E153" s="36" t="s">
        <v>276</v>
      </c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6" t="s">
        <v>68</v>
      </c>
      <c r="B154" s="36" t="s">
        <v>35</v>
      </c>
      <c r="C154" s="36" t="s">
        <v>271</v>
      </c>
      <c r="D154" s="36" t="s">
        <v>275</v>
      </c>
      <c r="E154" s="36" t="s">
        <v>277</v>
      </c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6" t="s">
        <v>68</v>
      </c>
      <c r="B155" s="36" t="s">
        <v>35</v>
      </c>
      <c r="C155" s="36" t="s">
        <v>271</v>
      </c>
      <c r="D155" s="36" t="s">
        <v>275</v>
      </c>
      <c r="E155" s="36" t="s">
        <v>278</v>
      </c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6" t="s">
        <v>68</v>
      </c>
      <c r="B156" s="36" t="s">
        <v>35</v>
      </c>
      <c r="C156" s="36" t="s">
        <v>271</v>
      </c>
      <c r="D156" s="36" t="s">
        <v>275</v>
      </c>
      <c r="E156" s="36" t="s">
        <v>279</v>
      </c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6" t="s">
        <v>68</v>
      </c>
      <c r="B157" s="36" t="s">
        <v>35</v>
      </c>
      <c r="C157" s="36" t="s">
        <v>271</v>
      </c>
      <c r="D157" s="36" t="s">
        <v>275</v>
      </c>
      <c r="E157" s="36" t="s">
        <v>280</v>
      </c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6" t="s">
        <v>68</v>
      </c>
      <c r="B158" s="36" t="s">
        <v>35</v>
      </c>
      <c r="C158" s="36" t="s">
        <v>271</v>
      </c>
      <c r="D158" s="36" t="s">
        <v>281</v>
      </c>
      <c r="E158" s="36" t="s">
        <v>282</v>
      </c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6" t="s">
        <v>68</v>
      </c>
      <c r="B159" s="36" t="s">
        <v>35</v>
      </c>
      <c r="C159" s="36" t="s">
        <v>271</v>
      </c>
      <c r="D159" s="36" t="s">
        <v>281</v>
      </c>
      <c r="E159" s="36" t="s">
        <v>283</v>
      </c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6" t="s">
        <v>68</v>
      </c>
      <c r="B160" s="36" t="s">
        <v>35</v>
      </c>
      <c r="C160" s="36" t="s">
        <v>271</v>
      </c>
      <c r="D160" s="36" t="s">
        <v>281</v>
      </c>
      <c r="E160" s="36" t="s">
        <v>284</v>
      </c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6" t="s">
        <v>68</v>
      </c>
      <c r="B161" s="36" t="s">
        <v>35</v>
      </c>
      <c r="C161" s="36" t="s">
        <v>271</v>
      </c>
      <c r="D161" s="36" t="s">
        <v>285</v>
      </c>
      <c r="E161" s="36" t="s">
        <v>286</v>
      </c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6" t="s">
        <v>68</v>
      </c>
      <c r="B162" s="36" t="s">
        <v>35</v>
      </c>
      <c r="C162" s="36" t="s">
        <v>271</v>
      </c>
      <c r="D162" s="36" t="s">
        <v>285</v>
      </c>
      <c r="E162" s="36" t="s">
        <v>287</v>
      </c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6" t="s">
        <v>68</v>
      </c>
      <c r="B163" s="36" t="s">
        <v>35</v>
      </c>
      <c r="C163" s="36" t="s">
        <v>288</v>
      </c>
      <c r="D163" s="36" t="s">
        <v>289</v>
      </c>
      <c r="E163" s="36" t="s">
        <v>290</v>
      </c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6" t="s">
        <v>68</v>
      </c>
      <c r="B164" s="36" t="s">
        <v>35</v>
      </c>
      <c r="C164" s="36" t="s">
        <v>288</v>
      </c>
      <c r="D164" s="36" t="s">
        <v>289</v>
      </c>
      <c r="E164" s="36" t="s">
        <v>291</v>
      </c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6" t="s">
        <v>68</v>
      </c>
      <c r="B165" s="36" t="s">
        <v>35</v>
      </c>
      <c r="C165" s="36" t="s">
        <v>288</v>
      </c>
      <c r="D165" s="36" t="s">
        <v>289</v>
      </c>
      <c r="E165" s="36" t="s">
        <v>292</v>
      </c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6" t="s">
        <v>68</v>
      </c>
      <c r="B166" s="36" t="s">
        <v>35</v>
      </c>
      <c r="C166" s="36" t="s">
        <v>288</v>
      </c>
      <c r="D166" s="36" t="s">
        <v>289</v>
      </c>
      <c r="E166" s="36" t="s">
        <v>293</v>
      </c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6" t="s">
        <v>68</v>
      </c>
      <c r="B167" s="36" t="s">
        <v>20</v>
      </c>
      <c r="C167" s="36" t="s">
        <v>294</v>
      </c>
      <c r="D167" s="36" t="s">
        <v>295</v>
      </c>
      <c r="E167" s="36" t="s">
        <v>21</v>
      </c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6" t="s">
        <v>68</v>
      </c>
      <c r="B168" s="36" t="s">
        <v>20</v>
      </c>
      <c r="C168" s="36" t="s">
        <v>294</v>
      </c>
      <c r="D168" s="36" t="s">
        <v>296</v>
      </c>
      <c r="E168" s="36" t="s">
        <v>22</v>
      </c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6" t="s">
        <v>68</v>
      </c>
      <c r="B169" s="36" t="s">
        <v>20</v>
      </c>
      <c r="C169" s="36" t="s">
        <v>294</v>
      </c>
      <c r="D169" s="36" t="s">
        <v>297</v>
      </c>
      <c r="E169" s="36" t="s">
        <v>23</v>
      </c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6" t="s">
        <v>68</v>
      </c>
      <c r="B170" s="36" t="s">
        <v>20</v>
      </c>
      <c r="C170" s="36" t="s">
        <v>294</v>
      </c>
      <c r="D170" s="36" t="s">
        <v>298</v>
      </c>
      <c r="E170" s="36" t="s">
        <v>24</v>
      </c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6" t="s">
        <v>68</v>
      </c>
      <c r="B171" s="36" t="s">
        <v>20</v>
      </c>
      <c r="C171" s="36" t="s">
        <v>299</v>
      </c>
      <c r="D171" s="36" t="s">
        <v>300</v>
      </c>
      <c r="E171" s="36" t="s">
        <v>25</v>
      </c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6" t="s">
        <v>68</v>
      </c>
      <c r="B172" s="36" t="s">
        <v>20</v>
      </c>
      <c r="C172" s="36" t="s">
        <v>299</v>
      </c>
      <c r="D172" s="36" t="s">
        <v>301</v>
      </c>
      <c r="E172" s="36" t="s">
        <v>302</v>
      </c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6" t="s">
        <v>68</v>
      </c>
      <c r="B173" s="36" t="s">
        <v>20</v>
      </c>
      <c r="C173" s="36" t="s">
        <v>299</v>
      </c>
      <c r="D173" s="36" t="s">
        <v>303</v>
      </c>
      <c r="E173" s="36" t="s">
        <v>304</v>
      </c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6" t="s">
        <v>68</v>
      </c>
      <c r="B174" s="36" t="s">
        <v>20</v>
      </c>
      <c r="C174" s="36" t="s">
        <v>299</v>
      </c>
      <c r="D174" s="36" t="s">
        <v>305</v>
      </c>
      <c r="E174" s="36" t="s">
        <v>306</v>
      </c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6" t="s">
        <v>68</v>
      </c>
      <c r="B175" s="36" t="s">
        <v>20</v>
      </c>
      <c r="C175" s="36" t="s">
        <v>299</v>
      </c>
      <c r="D175" s="36" t="s">
        <v>307</v>
      </c>
      <c r="E175" s="36" t="s">
        <v>308</v>
      </c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6" t="s">
        <v>68</v>
      </c>
      <c r="B176" s="36" t="s">
        <v>20</v>
      </c>
      <c r="C176" s="36" t="s">
        <v>309</v>
      </c>
      <c r="D176" s="36" t="s">
        <v>310</v>
      </c>
      <c r="E176" s="36" t="s">
        <v>311</v>
      </c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6" t="s">
        <v>68</v>
      </c>
      <c r="B177" s="36" t="s">
        <v>20</v>
      </c>
      <c r="C177" s="36" t="s">
        <v>309</v>
      </c>
      <c r="D177" s="36" t="s">
        <v>312</v>
      </c>
      <c r="E177" s="36" t="s">
        <v>313</v>
      </c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6" t="s">
        <v>68</v>
      </c>
      <c r="B178" s="36" t="s">
        <v>20</v>
      </c>
      <c r="C178" s="36" t="s">
        <v>309</v>
      </c>
      <c r="D178" s="36" t="s">
        <v>314</v>
      </c>
      <c r="E178" s="36" t="s">
        <v>315</v>
      </c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6" t="s">
        <v>68</v>
      </c>
      <c r="B179" s="36" t="s">
        <v>20</v>
      </c>
      <c r="C179" s="36" t="s">
        <v>309</v>
      </c>
      <c r="D179" s="36" t="s">
        <v>316</v>
      </c>
      <c r="E179" s="36" t="s">
        <v>317</v>
      </c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6" t="s">
        <v>68</v>
      </c>
      <c r="B180" s="36" t="s">
        <v>20</v>
      </c>
      <c r="C180" s="36" t="s">
        <v>318</v>
      </c>
      <c r="D180" s="36" t="s">
        <v>319</v>
      </c>
      <c r="E180" s="36" t="s">
        <v>320</v>
      </c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6" t="s">
        <v>68</v>
      </c>
      <c r="B181" s="36" t="s">
        <v>20</v>
      </c>
      <c r="C181" s="36" t="s">
        <v>318</v>
      </c>
      <c r="D181" s="36" t="s">
        <v>321</v>
      </c>
      <c r="E181" s="36" t="s">
        <v>322</v>
      </c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6" t="s">
        <v>68</v>
      </c>
      <c r="B182" s="36" t="s">
        <v>20</v>
      </c>
      <c r="C182" s="36" t="s">
        <v>318</v>
      </c>
      <c r="D182" s="36" t="s">
        <v>323</v>
      </c>
      <c r="E182" s="36" t="s">
        <v>324</v>
      </c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6" t="s">
        <v>68</v>
      </c>
      <c r="B183" s="36" t="s">
        <v>20</v>
      </c>
      <c r="C183" s="36" t="s">
        <v>318</v>
      </c>
      <c r="D183" s="36" t="s">
        <v>325</v>
      </c>
      <c r="E183" s="36" t="s">
        <v>326</v>
      </c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6" t="s">
        <v>68</v>
      </c>
      <c r="B184" s="36" t="s">
        <v>20</v>
      </c>
      <c r="C184" s="36" t="s">
        <v>327</v>
      </c>
      <c r="D184" s="36" t="s">
        <v>328</v>
      </c>
      <c r="E184" s="36" t="s">
        <v>329</v>
      </c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6" t="s">
        <v>68</v>
      </c>
      <c r="B185" s="36" t="s">
        <v>20</v>
      </c>
      <c r="C185" s="36" t="s">
        <v>327</v>
      </c>
      <c r="D185" s="36" t="s">
        <v>330</v>
      </c>
      <c r="E185" s="36" t="s">
        <v>331</v>
      </c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6" t="s">
        <v>68</v>
      </c>
      <c r="B186" s="36" t="s">
        <v>20</v>
      </c>
      <c r="C186" s="36" t="s">
        <v>327</v>
      </c>
      <c r="D186" s="36" t="s">
        <v>330</v>
      </c>
      <c r="E186" s="36" t="s">
        <v>332</v>
      </c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6" t="s">
        <v>68</v>
      </c>
      <c r="B187" s="36" t="s">
        <v>20</v>
      </c>
      <c r="C187" s="36" t="s">
        <v>327</v>
      </c>
      <c r="D187" s="36" t="s">
        <v>333</v>
      </c>
      <c r="E187" s="36" t="s">
        <v>334</v>
      </c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6" t="s">
        <v>68</v>
      </c>
      <c r="B188" s="36" t="s">
        <v>20</v>
      </c>
      <c r="C188" s="36" t="s">
        <v>327</v>
      </c>
      <c r="D188" s="36" t="s">
        <v>335</v>
      </c>
      <c r="E188" s="36" t="s">
        <v>336</v>
      </c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6" t="s">
        <v>68</v>
      </c>
      <c r="B189" s="36" t="s">
        <v>20</v>
      </c>
      <c r="C189" s="36" t="s">
        <v>327</v>
      </c>
      <c r="D189" s="36" t="s">
        <v>337</v>
      </c>
      <c r="E189" s="36" t="s">
        <v>338</v>
      </c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6" t="s">
        <v>68</v>
      </c>
      <c r="B190" s="36" t="s">
        <v>20</v>
      </c>
      <c r="C190" s="36" t="s">
        <v>339</v>
      </c>
      <c r="D190" s="36" t="s">
        <v>340</v>
      </c>
      <c r="E190" s="36" t="s">
        <v>341</v>
      </c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6" t="s">
        <v>68</v>
      </c>
      <c r="B191" s="36" t="s">
        <v>20</v>
      </c>
      <c r="C191" s="36" t="s">
        <v>339</v>
      </c>
      <c r="D191" s="36" t="s">
        <v>342</v>
      </c>
      <c r="E191" s="36" t="s">
        <v>343</v>
      </c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6" t="s">
        <v>68</v>
      </c>
      <c r="B192" s="36" t="s">
        <v>20</v>
      </c>
      <c r="C192" s="36" t="s">
        <v>339</v>
      </c>
      <c r="D192" s="36" t="s">
        <v>342</v>
      </c>
      <c r="E192" s="36" t="s">
        <v>344</v>
      </c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6" t="s">
        <v>68</v>
      </c>
      <c r="B193" s="36" t="s">
        <v>20</v>
      </c>
      <c r="C193" s="36" t="s">
        <v>339</v>
      </c>
      <c r="D193" s="36" t="s">
        <v>345</v>
      </c>
      <c r="E193" s="36" t="s">
        <v>346</v>
      </c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6" t="s">
        <v>68</v>
      </c>
      <c r="B194" s="36" t="s">
        <v>20</v>
      </c>
      <c r="C194" s="36" t="s">
        <v>347</v>
      </c>
      <c r="D194" s="36" t="s">
        <v>348</v>
      </c>
      <c r="E194" s="36" t="s">
        <v>349</v>
      </c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6" t="s">
        <v>68</v>
      </c>
      <c r="B195" s="36" t="s">
        <v>20</v>
      </c>
      <c r="C195" s="36" t="s">
        <v>347</v>
      </c>
      <c r="D195" s="36" t="s">
        <v>350</v>
      </c>
      <c r="E195" s="36" t="s">
        <v>351</v>
      </c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6" t="s">
        <v>68</v>
      </c>
      <c r="B196" s="36" t="s">
        <v>20</v>
      </c>
      <c r="C196" s="36" t="s">
        <v>347</v>
      </c>
      <c r="D196" s="36" t="s">
        <v>352</v>
      </c>
      <c r="E196" s="36" t="s">
        <v>353</v>
      </c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6" t="s">
        <v>68</v>
      </c>
      <c r="B197" s="36" t="s">
        <v>20</v>
      </c>
      <c r="C197" s="36" t="s">
        <v>347</v>
      </c>
      <c r="D197" s="36" t="s">
        <v>354</v>
      </c>
      <c r="E197" s="36" t="s">
        <v>355</v>
      </c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6" t="s">
        <v>68</v>
      </c>
      <c r="B198" s="36" t="s">
        <v>0</v>
      </c>
      <c r="C198" s="36" t="s">
        <v>356</v>
      </c>
      <c r="D198" s="36" t="s">
        <v>357</v>
      </c>
      <c r="E198" s="36" t="s">
        <v>6</v>
      </c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6" t="s">
        <v>68</v>
      </c>
      <c r="B199" s="36" t="s">
        <v>0</v>
      </c>
      <c r="C199" s="36" t="s">
        <v>356</v>
      </c>
      <c r="D199" s="36" t="s">
        <v>357</v>
      </c>
      <c r="E199" s="36" t="s">
        <v>358</v>
      </c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6" t="s">
        <v>68</v>
      </c>
      <c r="B200" s="36" t="s">
        <v>0</v>
      </c>
      <c r="C200" s="36" t="s">
        <v>356</v>
      </c>
      <c r="D200" s="36" t="s">
        <v>357</v>
      </c>
      <c r="E200" s="36" t="s">
        <v>359</v>
      </c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6" t="s">
        <v>68</v>
      </c>
      <c r="B201" s="36" t="s">
        <v>0</v>
      </c>
      <c r="C201" s="36" t="s">
        <v>356</v>
      </c>
      <c r="D201" s="36" t="s">
        <v>357</v>
      </c>
      <c r="E201" s="36" t="s">
        <v>360</v>
      </c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6" t="s">
        <v>68</v>
      </c>
      <c r="B202" s="36" t="s">
        <v>0</v>
      </c>
      <c r="C202" s="36" t="s">
        <v>356</v>
      </c>
      <c r="D202" s="36" t="s">
        <v>357</v>
      </c>
      <c r="E202" s="36" t="s">
        <v>361</v>
      </c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6" t="s">
        <v>68</v>
      </c>
      <c r="B203" s="36" t="s">
        <v>0</v>
      </c>
      <c r="C203" s="36" t="s">
        <v>356</v>
      </c>
      <c r="D203" s="36" t="s">
        <v>357</v>
      </c>
      <c r="E203" s="36" t="s">
        <v>362</v>
      </c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6" t="s">
        <v>68</v>
      </c>
      <c r="B204" s="36" t="s">
        <v>0</v>
      </c>
      <c r="C204" s="36" t="s">
        <v>356</v>
      </c>
      <c r="D204" s="36" t="s">
        <v>357</v>
      </c>
      <c r="E204" s="36" t="s">
        <v>363</v>
      </c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6" t="s">
        <v>68</v>
      </c>
      <c r="B205" s="36" t="s">
        <v>0</v>
      </c>
      <c r="C205" s="36" t="s">
        <v>356</v>
      </c>
      <c r="D205" s="36" t="s">
        <v>357</v>
      </c>
      <c r="E205" s="36" t="s">
        <v>364</v>
      </c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6" t="s">
        <v>68</v>
      </c>
      <c r="B206" s="36" t="s">
        <v>0</v>
      </c>
      <c r="C206" s="36" t="s">
        <v>356</v>
      </c>
      <c r="D206" s="36" t="s">
        <v>357</v>
      </c>
      <c r="E206" s="36" t="s">
        <v>365</v>
      </c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6" t="s">
        <v>68</v>
      </c>
      <c r="B207" s="36" t="s">
        <v>0</v>
      </c>
      <c r="C207" s="36" t="s">
        <v>356</v>
      </c>
      <c r="D207" s="36" t="s">
        <v>357</v>
      </c>
      <c r="E207" s="36" t="s">
        <v>366</v>
      </c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6" t="s">
        <v>68</v>
      </c>
      <c r="B208" s="36" t="s">
        <v>0</v>
      </c>
      <c r="C208" s="36" t="s">
        <v>356</v>
      </c>
      <c r="D208" s="36" t="s">
        <v>357</v>
      </c>
      <c r="E208" s="36" t="s">
        <v>367</v>
      </c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6" t="s">
        <v>68</v>
      </c>
      <c r="B209" s="36" t="s">
        <v>0</v>
      </c>
      <c r="C209" s="36" t="s">
        <v>356</v>
      </c>
      <c r="D209" s="36" t="s">
        <v>357</v>
      </c>
      <c r="E209" s="36" t="s">
        <v>368</v>
      </c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6" t="s">
        <v>68</v>
      </c>
      <c r="B210" s="36" t="s">
        <v>0</v>
      </c>
      <c r="C210" s="36" t="s">
        <v>356</v>
      </c>
      <c r="D210" s="36" t="s">
        <v>357</v>
      </c>
      <c r="E210" s="36" t="s">
        <v>4</v>
      </c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6" t="s">
        <v>68</v>
      </c>
      <c r="B211" s="36" t="s">
        <v>0</v>
      </c>
      <c r="C211" s="36" t="s">
        <v>356</v>
      </c>
      <c r="D211" s="36" t="s">
        <v>357</v>
      </c>
      <c r="E211" s="36" t="s">
        <v>369</v>
      </c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6" t="s">
        <v>68</v>
      </c>
      <c r="B212" s="36" t="s">
        <v>0</v>
      </c>
      <c r="C212" s="36" t="s">
        <v>356</v>
      </c>
      <c r="D212" s="36" t="s">
        <v>357</v>
      </c>
      <c r="E212" s="36" t="s">
        <v>370</v>
      </c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6" t="s">
        <v>68</v>
      </c>
      <c r="B213" s="36" t="s">
        <v>0</v>
      </c>
      <c r="C213" s="36" t="s">
        <v>356</v>
      </c>
      <c r="D213" s="36" t="s">
        <v>371</v>
      </c>
      <c r="E213" s="36" t="s">
        <v>372</v>
      </c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6" t="s">
        <v>68</v>
      </c>
      <c r="B214" s="36" t="s">
        <v>0</v>
      </c>
      <c r="C214" s="36" t="s">
        <v>356</v>
      </c>
      <c r="D214" s="36" t="s">
        <v>373</v>
      </c>
      <c r="E214" s="36" t="s">
        <v>374</v>
      </c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6" t="s">
        <v>68</v>
      </c>
      <c r="B215" s="36" t="s">
        <v>0</v>
      </c>
      <c r="C215" s="36" t="s">
        <v>356</v>
      </c>
      <c r="D215" s="36" t="s">
        <v>375</v>
      </c>
      <c r="E215" s="36" t="s">
        <v>376</v>
      </c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6" t="s">
        <v>68</v>
      </c>
      <c r="B216" s="36" t="s">
        <v>0</v>
      </c>
      <c r="C216" s="36" t="s">
        <v>356</v>
      </c>
      <c r="D216" s="36" t="s">
        <v>377</v>
      </c>
      <c r="E216" s="36" t="s">
        <v>378</v>
      </c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6" t="s">
        <v>68</v>
      </c>
      <c r="B217" s="36" t="s">
        <v>0</v>
      </c>
      <c r="C217" s="36" t="s">
        <v>356</v>
      </c>
      <c r="D217" s="36" t="s">
        <v>379</v>
      </c>
      <c r="E217" s="36" t="s">
        <v>380</v>
      </c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6" t="s">
        <v>68</v>
      </c>
      <c r="B218" s="36" t="s">
        <v>0</v>
      </c>
      <c r="C218" s="36" t="s">
        <v>356</v>
      </c>
      <c r="D218" s="36" t="s">
        <v>379</v>
      </c>
      <c r="E218" s="36" t="s">
        <v>381</v>
      </c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6" t="s">
        <v>68</v>
      </c>
      <c r="B219" s="36" t="s">
        <v>0</v>
      </c>
      <c r="C219" s="36" t="s">
        <v>356</v>
      </c>
      <c r="D219" s="36" t="s">
        <v>379</v>
      </c>
      <c r="E219" s="36" t="s">
        <v>382</v>
      </c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6" t="s">
        <v>68</v>
      </c>
      <c r="B220" s="36" t="s">
        <v>0</v>
      </c>
      <c r="C220" s="36" t="s">
        <v>356</v>
      </c>
      <c r="D220" s="36" t="s">
        <v>379</v>
      </c>
      <c r="E220" s="36" t="s">
        <v>383</v>
      </c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6" t="s">
        <v>68</v>
      </c>
      <c r="B221" s="36" t="s">
        <v>0</v>
      </c>
      <c r="C221" s="36" t="s">
        <v>356</v>
      </c>
      <c r="D221" s="36" t="s">
        <v>379</v>
      </c>
      <c r="E221" s="36" t="s">
        <v>384</v>
      </c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6" t="s">
        <v>68</v>
      </c>
      <c r="B222" s="36" t="s">
        <v>0</v>
      </c>
      <c r="C222" s="36" t="s">
        <v>356</v>
      </c>
      <c r="D222" s="36" t="s">
        <v>379</v>
      </c>
      <c r="E222" s="36" t="s">
        <v>385</v>
      </c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6" t="s">
        <v>68</v>
      </c>
      <c r="B223" s="36" t="s">
        <v>0</v>
      </c>
      <c r="C223" s="36" t="s">
        <v>356</v>
      </c>
      <c r="D223" s="36" t="s">
        <v>386</v>
      </c>
      <c r="E223" s="36" t="s">
        <v>387</v>
      </c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6" t="s">
        <v>68</v>
      </c>
      <c r="B224" s="36" t="s">
        <v>0</v>
      </c>
      <c r="C224" s="36" t="s">
        <v>356</v>
      </c>
      <c r="D224" s="36" t="s">
        <v>386</v>
      </c>
      <c r="E224" s="36" t="s">
        <v>388</v>
      </c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6" t="s">
        <v>68</v>
      </c>
      <c r="B225" s="36" t="s">
        <v>0</v>
      </c>
      <c r="C225" s="36" t="s">
        <v>356</v>
      </c>
      <c r="D225" s="36" t="s">
        <v>386</v>
      </c>
      <c r="E225" s="36" t="s">
        <v>389</v>
      </c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6" t="s">
        <v>68</v>
      </c>
      <c r="B226" s="36" t="s">
        <v>0</v>
      </c>
      <c r="C226" s="36" t="s">
        <v>356</v>
      </c>
      <c r="D226" s="36" t="s">
        <v>386</v>
      </c>
      <c r="E226" s="36" t="s">
        <v>390</v>
      </c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6" t="s">
        <v>68</v>
      </c>
      <c r="B227" s="36" t="s">
        <v>0</v>
      </c>
      <c r="C227" s="36" t="s">
        <v>356</v>
      </c>
      <c r="D227" s="36" t="s">
        <v>386</v>
      </c>
      <c r="E227" s="36" t="s">
        <v>391</v>
      </c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6" t="s">
        <v>68</v>
      </c>
      <c r="B228" s="36" t="s">
        <v>0</v>
      </c>
      <c r="C228" s="36" t="s">
        <v>356</v>
      </c>
      <c r="D228" s="36" t="s">
        <v>386</v>
      </c>
      <c r="E228" s="36" t="s">
        <v>392</v>
      </c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6" t="s">
        <v>68</v>
      </c>
      <c r="B229" s="36" t="s">
        <v>0</v>
      </c>
      <c r="C229" s="36" t="s">
        <v>356</v>
      </c>
      <c r="D229" s="36" t="s">
        <v>393</v>
      </c>
      <c r="E229" s="36" t="s">
        <v>394</v>
      </c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6" t="s">
        <v>68</v>
      </c>
      <c r="B230" s="36" t="s">
        <v>0</v>
      </c>
      <c r="C230" s="36" t="s">
        <v>356</v>
      </c>
      <c r="D230" s="36" t="s">
        <v>395</v>
      </c>
      <c r="E230" s="36" t="s">
        <v>396</v>
      </c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6" t="s">
        <v>68</v>
      </c>
      <c r="B231" s="36" t="s">
        <v>0</v>
      </c>
      <c r="C231" s="36" t="s">
        <v>356</v>
      </c>
      <c r="D231" s="36" t="s">
        <v>397</v>
      </c>
      <c r="E231" s="36" t="s">
        <v>398</v>
      </c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6" t="s">
        <v>68</v>
      </c>
      <c r="B232" s="36" t="s">
        <v>0</v>
      </c>
      <c r="C232" s="36" t="s">
        <v>356</v>
      </c>
      <c r="D232" s="36" t="s">
        <v>399</v>
      </c>
      <c r="E232" s="36" t="s">
        <v>400</v>
      </c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6" t="s">
        <v>68</v>
      </c>
      <c r="B233" s="36" t="s">
        <v>0</v>
      </c>
      <c r="C233" s="36" t="s">
        <v>356</v>
      </c>
      <c r="D233" s="36" t="s">
        <v>401</v>
      </c>
      <c r="E233" s="36" t="s">
        <v>402</v>
      </c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6" t="s">
        <v>68</v>
      </c>
      <c r="B234" s="36" t="s">
        <v>0</v>
      </c>
      <c r="C234" s="36" t="s">
        <v>356</v>
      </c>
      <c r="D234" s="36" t="s">
        <v>403</v>
      </c>
      <c r="E234" s="36" t="s">
        <v>404</v>
      </c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6" t="s">
        <v>68</v>
      </c>
      <c r="B235" s="36" t="s">
        <v>0</v>
      </c>
      <c r="C235" s="36" t="s">
        <v>356</v>
      </c>
      <c r="D235" s="36" t="s">
        <v>405</v>
      </c>
      <c r="E235" s="36" t="s">
        <v>406</v>
      </c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6" t="s">
        <v>68</v>
      </c>
      <c r="B236" s="36" t="s">
        <v>0</v>
      </c>
      <c r="C236" s="36" t="s">
        <v>356</v>
      </c>
      <c r="D236" s="36" t="s">
        <v>405</v>
      </c>
      <c r="E236" s="36" t="s">
        <v>407</v>
      </c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6" t="s">
        <v>68</v>
      </c>
      <c r="B237" s="36" t="s">
        <v>0</v>
      </c>
      <c r="C237" s="36" t="s">
        <v>356</v>
      </c>
      <c r="D237" s="36" t="s">
        <v>405</v>
      </c>
      <c r="E237" s="36" t="s">
        <v>408</v>
      </c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6" t="s">
        <v>68</v>
      </c>
      <c r="B238" s="36" t="s">
        <v>0</v>
      </c>
      <c r="C238" s="36" t="s">
        <v>356</v>
      </c>
      <c r="D238" s="36" t="s">
        <v>405</v>
      </c>
      <c r="E238" s="36" t="s">
        <v>409</v>
      </c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6" t="s">
        <v>68</v>
      </c>
      <c r="B239" s="36" t="s">
        <v>0</v>
      </c>
      <c r="C239" s="36" t="s">
        <v>356</v>
      </c>
      <c r="D239" s="36" t="s">
        <v>405</v>
      </c>
      <c r="E239" s="36" t="s">
        <v>410</v>
      </c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6" t="s">
        <v>68</v>
      </c>
      <c r="B240" s="36" t="s">
        <v>0</v>
      </c>
      <c r="C240" s="36" t="s">
        <v>356</v>
      </c>
      <c r="D240" s="36" t="s">
        <v>405</v>
      </c>
      <c r="E240" s="36" t="s">
        <v>411</v>
      </c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6" t="s">
        <v>68</v>
      </c>
      <c r="B241" s="36" t="s">
        <v>0</v>
      </c>
      <c r="C241" s="36" t="s">
        <v>356</v>
      </c>
      <c r="D241" s="36" t="s">
        <v>412</v>
      </c>
      <c r="E241" s="36" t="s">
        <v>19</v>
      </c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6" t="s">
        <v>68</v>
      </c>
      <c r="B242" s="36" t="s">
        <v>0</v>
      </c>
      <c r="C242" s="36" t="s">
        <v>356</v>
      </c>
      <c r="D242" s="36" t="s">
        <v>412</v>
      </c>
      <c r="E242" s="36" t="s">
        <v>413</v>
      </c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6" t="s">
        <v>68</v>
      </c>
      <c r="B243" s="36" t="s">
        <v>0</v>
      </c>
      <c r="C243" s="36" t="s">
        <v>356</v>
      </c>
      <c r="D243" s="36" t="s">
        <v>412</v>
      </c>
      <c r="E243" s="36" t="s">
        <v>414</v>
      </c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6" t="s">
        <v>68</v>
      </c>
      <c r="B244" s="36" t="s">
        <v>0</v>
      </c>
      <c r="C244" s="36" t="s">
        <v>356</v>
      </c>
      <c r="D244" s="36" t="s">
        <v>412</v>
      </c>
      <c r="E244" s="36" t="s">
        <v>415</v>
      </c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6" t="s">
        <v>68</v>
      </c>
      <c r="B245" s="36" t="s">
        <v>0</v>
      </c>
      <c r="C245" s="36" t="s">
        <v>356</v>
      </c>
      <c r="D245" s="36" t="s">
        <v>416</v>
      </c>
      <c r="E245" s="36" t="s">
        <v>417</v>
      </c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6" t="s">
        <v>68</v>
      </c>
      <c r="B246" s="36" t="s">
        <v>0</v>
      </c>
      <c r="C246" s="36" t="s">
        <v>356</v>
      </c>
      <c r="D246" s="36" t="s">
        <v>418</v>
      </c>
      <c r="E246" s="36" t="s">
        <v>419</v>
      </c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6" t="s">
        <v>68</v>
      </c>
      <c r="B247" s="36" t="s">
        <v>0</v>
      </c>
      <c r="C247" s="36" t="s">
        <v>356</v>
      </c>
      <c r="D247" s="36" t="s">
        <v>418</v>
      </c>
      <c r="E247" s="36" t="s">
        <v>420</v>
      </c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6" t="s">
        <v>68</v>
      </c>
      <c r="B248" s="36" t="s">
        <v>0</v>
      </c>
      <c r="C248" s="36" t="s">
        <v>356</v>
      </c>
      <c r="D248" s="36" t="s">
        <v>418</v>
      </c>
      <c r="E248" s="36" t="s">
        <v>421</v>
      </c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6" t="s">
        <v>68</v>
      </c>
      <c r="B249" s="36" t="s">
        <v>0</v>
      </c>
      <c r="C249" s="36" t="s">
        <v>356</v>
      </c>
      <c r="D249" s="36" t="s">
        <v>418</v>
      </c>
      <c r="E249" s="36" t="s">
        <v>422</v>
      </c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6" t="s">
        <v>68</v>
      </c>
      <c r="B250" s="36" t="s">
        <v>0</v>
      </c>
      <c r="C250" s="36" t="s">
        <v>356</v>
      </c>
      <c r="D250" s="36" t="s">
        <v>418</v>
      </c>
      <c r="E250" s="36" t="s">
        <v>423</v>
      </c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6" t="s">
        <v>68</v>
      </c>
      <c r="B251" s="36" t="s">
        <v>0</v>
      </c>
      <c r="C251" s="36" t="s">
        <v>356</v>
      </c>
      <c r="D251" s="36" t="s">
        <v>418</v>
      </c>
      <c r="E251" s="36" t="s">
        <v>424</v>
      </c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6" t="s">
        <v>68</v>
      </c>
      <c r="B252" s="36" t="s">
        <v>0</v>
      </c>
      <c r="C252" s="36" t="s">
        <v>356</v>
      </c>
      <c r="D252" s="36" t="s">
        <v>418</v>
      </c>
      <c r="E252" s="36" t="s">
        <v>425</v>
      </c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6" t="s">
        <v>68</v>
      </c>
      <c r="B253" s="36" t="s">
        <v>0</v>
      </c>
      <c r="C253" s="36" t="s">
        <v>356</v>
      </c>
      <c r="D253" s="36" t="s">
        <v>418</v>
      </c>
      <c r="E253" s="36" t="s">
        <v>12</v>
      </c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6" t="s">
        <v>68</v>
      </c>
      <c r="B254" s="36" t="s">
        <v>0</v>
      </c>
      <c r="C254" s="36" t="s">
        <v>356</v>
      </c>
      <c r="D254" s="36" t="s">
        <v>418</v>
      </c>
      <c r="E254" s="36" t="s">
        <v>426</v>
      </c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6" t="s">
        <v>68</v>
      </c>
      <c r="B255" s="36" t="s">
        <v>0</v>
      </c>
      <c r="C255" s="36" t="s">
        <v>356</v>
      </c>
      <c r="D255" s="36" t="s">
        <v>418</v>
      </c>
      <c r="E255" s="36" t="s">
        <v>427</v>
      </c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6" t="s">
        <v>68</v>
      </c>
      <c r="B256" s="36" t="s">
        <v>0</v>
      </c>
      <c r="C256" s="36" t="s">
        <v>356</v>
      </c>
      <c r="D256" s="36" t="s">
        <v>418</v>
      </c>
      <c r="E256" s="36" t="s">
        <v>428</v>
      </c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6" t="s">
        <v>68</v>
      </c>
      <c r="B257" s="36" t="s">
        <v>0</v>
      </c>
      <c r="C257" s="36" t="s">
        <v>356</v>
      </c>
      <c r="D257" s="36" t="s">
        <v>418</v>
      </c>
      <c r="E257" s="36" t="s">
        <v>14</v>
      </c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6" t="s">
        <v>68</v>
      </c>
      <c r="B258" s="36" t="s">
        <v>0</v>
      </c>
      <c r="C258" s="36" t="s">
        <v>356</v>
      </c>
      <c r="D258" s="36" t="s">
        <v>418</v>
      </c>
      <c r="E258" s="36" t="s">
        <v>429</v>
      </c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6" t="s">
        <v>68</v>
      </c>
      <c r="B259" s="36" t="s">
        <v>0</v>
      </c>
      <c r="C259" s="36" t="s">
        <v>356</v>
      </c>
      <c r="D259" s="36" t="s">
        <v>418</v>
      </c>
      <c r="E259" s="36" t="s">
        <v>430</v>
      </c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6" t="s">
        <v>68</v>
      </c>
      <c r="B260" s="36" t="s">
        <v>0</v>
      </c>
      <c r="C260" s="36" t="s">
        <v>356</v>
      </c>
      <c r="D260" s="36" t="s">
        <v>418</v>
      </c>
      <c r="E260" s="36" t="s">
        <v>431</v>
      </c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6" t="s">
        <v>68</v>
      </c>
      <c r="B261" s="36" t="s">
        <v>0</v>
      </c>
      <c r="C261" s="36" t="s">
        <v>356</v>
      </c>
      <c r="D261" s="36" t="s">
        <v>418</v>
      </c>
      <c r="E261" s="36" t="s">
        <v>432</v>
      </c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6" t="s">
        <v>68</v>
      </c>
      <c r="B262" s="36" t="s">
        <v>0</v>
      </c>
      <c r="C262" s="36" t="s">
        <v>356</v>
      </c>
      <c r="D262" s="36" t="s">
        <v>433</v>
      </c>
      <c r="E262" s="36" t="s">
        <v>434</v>
      </c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6" t="s">
        <v>68</v>
      </c>
      <c r="B263" s="36" t="s">
        <v>0</v>
      </c>
      <c r="C263" s="36" t="s">
        <v>356</v>
      </c>
      <c r="D263" s="36" t="s">
        <v>433</v>
      </c>
      <c r="E263" s="36" t="s">
        <v>435</v>
      </c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6" t="s">
        <v>68</v>
      </c>
      <c r="B264" s="36" t="s">
        <v>0</v>
      </c>
      <c r="C264" s="36" t="s">
        <v>356</v>
      </c>
      <c r="D264" s="36" t="s">
        <v>433</v>
      </c>
      <c r="E264" s="36" t="s">
        <v>436</v>
      </c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6" t="s">
        <v>68</v>
      </c>
      <c r="B265" s="36" t="s">
        <v>0</v>
      </c>
      <c r="C265" s="36" t="s">
        <v>356</v>
      </c>
      <c r="D265" s="36" t="s">
        <v>433</v>
      </c>
      <c r="E265" s="36" t="s">
        <v>437</v>
      </c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6" t="s">
        <v>68</v>
      </c>
      <c r="B266" s="36" t="s">
        <v>0</v>
      </c>
      <c r="C266" s="36" t="s">
        <v>356</v>
      </c>
      <c r="D266" s="36" t="s">
        <v>418</v>
      </c>
      <c r="E266" s="36" t="s">
        <v>438</v>
      </c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6" t="s">
        <v>68</v>
      </c>
      <c r="B267" s="36" t="s">
        <v>0</v>
      </c>
      <c r="C267" s="36" t="s">
        <v>356</v>
      </c>
      <c r="D267" s="36" t="s">
        <v>439</v>
      </c>
      <c r="E267" s="36" t="s">
        <v>440</v>
      </c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36" t="s">
        <v>68</v>
      </c>
      <c r="B268" s="36" t="s">
        <v>0</v>
      </c>
      <c r="C268" s="36" t="s">
        <v>356</v>
      </c>
      <c r="D268" s="36" t="s">
        <v>439</v>
      </c>
      <c r="E268" s="36" t="s">
        <v>15</v>
      </c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36" t="s">
        <v>68</v>
      </c>
      <c r="B269" s="36" t="s">
        <v>0</v>
      </c>
      <c r="C269" s="36" t="s">
        <v>356</v>
      </c>
      <c r="D269" s="36" t="s">
        <v>418</v>
      </c>
      <c r="E269" s="36" t="s">
        <v>441</v>
      </c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36" t="s">
        <v>68</v>
      </c>
      <c r="B270" s="36" t="s">
        <v>0</v>
      </c>
      <c r="C270" s="36" t="s">
        <v>356</v>
      </c>
      <c r="D270" s="36" t="s">
        <v>418</v>
      </c>
      <c r="E270" s="36" t="s">
        <v>442</v>
      </c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6" t="s">
        <v>68</v>
      </c>
      <c r="B271" s="36" t="s">
        <v>0</v>
      </c>
      <c r="C271" s="36" t="s">
        <v>356</v>
      </c>
      <c r="D271" s="36" t="s">
        <v>418</v>
      </c>
      <c r="E271" s="36" t="s">
        <v>443</v>
      </c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36" t="s">
        <v>68</v>
      </c>
      <c r="B272" s="36" t="s">
        <v>0</v>
      </c>
      <c r="C272" s="36" t="s">
        <v>356</v>
      </c>
      <c r="D272" s="36" t="s">
        <v>433</v>
      </c>
      <c r="E272" s="36" t="s">
        <v>444</v>
      </c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36" t="s">
        <v>68</v>
      </c>
      <c r="B273" s="36" t="s">
        <v>0</v>
      </c>
      <c r="C273" s="36" t="s">
        <v>356</v>
      </c>
      <c r="D273" s="36" t="s">
        <v>433</v>
      </c>
      <c r="E273" s="36" t="s">
        <v>8</v>
      </c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36" t="s">
        <v>68</v>
      </c>
      <c r="B274" s="36" t="s">
        <v>0</v>
      </c>
      <c r="C274" s="36" t="s">
        <v>356</v>
      </c>
      <c r="D274" s="36" t="s">
        <v>433</v>
      </c>
      <c r="E274" s="36" t="s">
        <v>445</v>
      </c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36" t="s">
        <v>68</v>
      </c>
      <c r="B275" s="36" t="s">
        <v>0</v>
      </c>
      <c r="C275" s="36" t="s">
        <v>356</v>
      </c>
      <c r="D275" s="36" t="s">
        <v>433</v>
      </c>
      <c r="E275" s="36" t="s">
        <v>446</v>
      </c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36" t="s">
        <v>68</v>
      </c>
      <c r="B276" s="36" t="s">
        <v>0</v>
      </c>
      <c r="C276" s="36" t="s">
        <v>356</v>
      </c>
      <c r="D276" s="36" t="s">
        <v>433</v>
      </c>
      <c r="E276" s="36" t="s">
        <v>447</v>
      </c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36" t="s">
        <v>68</v>
      </c>
      <c r="B277" s="36" t="s">
        <v>0</v>
      </c>
      <c r="C277" s="36" t="s">
        <v>356</v>
      </c>
      <c r="D277" s="36" t="s">
        <v>433</v>
      </c>
      <c r="E277" s="36" t="s">
        <v>448</v>
      </c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36" t="s">
        <v>68</v>
      </c>
      <c r="B278" s="36" t="s">
        <v>0</v>
      </c>
      <c r="C278" s="36" t="s">
        <v>356</v>
      </c>
      <c r="D278" s="36" t="s">
        <v>433</v>
      </c>
      <c r="E278" s="36" t="s">
        <v>449</v>
      </c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36" t="s">
        <v>68</v>
      </c>
      <c r="B279" s="36" t="s">
        <v>0</v>
      </c>
      <c r="C279" s="36" t="s">
        <v>356</v>
      </c>
      <c r="D279" s="36" t="s">
        <v>433</v>
      </c>
      <c r="E279" s="36" t="s">
        <v>450</v>
      </c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36" t="s">
        <v>68</v>
      </c>
      <c r="B280" s="36" t="s">
        <v>0</v>
      </c>
      <c r="C280" s="36" t="s">
        <v>356</v>
      </c>
      <c r="D280" s="36" t="s">
        <v>433</v>
      </c>
      <c r="E280" s="36" t="s">
        <v>451</v>
      </c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36" t="s">
        <v>68</v>
      </c>
      <c r="B281" s="36" t="s">
        <v>0</v>
      </c>
      <c r="C281" s="36" t="s">
        <v>356</v>
      </c>
      <c r="D281" s="36" t="s">
        <v>433</v>
      </c>
      <c r="E281" s="36" t="s">
        <v>452</v>
      </c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36" t="s">
        <v>68</v>
      </c>
      <c r="B282" s="36" t="s">
        <v>0</v>
      </c>
      <c r="C282" s="36" t="s">
        <v>356</v>
      </c>
      <c r="D282" s="36" t="s">
        <v>433</v>
      </c>
      <c r="E282" s="36" t="s">
        <v>453</v>
      </c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36" t="s">
        <v>68</v>
      </c>
      <c r="B283" s="36" t="s">
        <v>0</v>
      </c>
      <c r="C283" s="36" t="s">
        <v>356</v>
      </c>
      <c r="D283" s="36" t="s">
        <v>433</v>
      </c>
      <c r="E283" s="36" t="s">
        <v>454</v>
      </c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36" t="s">
        <v>68</v>
      </c>
      <c r="B284" s="36" t="s">
        <v>0</v>
      </c>
      <c r="C284" s="36" t="s">
        <v>356</v>
      </c>
      <c r="D284" s="36" t="s">
        <v>433</v>
      </c>
      <c r="E284" s="36" t="s">
        <v>455</v>
      </c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36" t="s">
        <v>68</v>
      </c>
      <c r="B285" s="36" t="s">
        <v>0</v>
      </c>
      <c r="C285" s="36" t="s">
        <v>356</v>
      </c>
      <c r="D285" s="36" t="s">
        <v>433</v>
      </c>
      <c r="E285" s="36" t="s">
        <v>456</v>
      </c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36" t="s">
        <v>68</v>
      </c>
      <c r="B286" s="36" t="s">
        <v>0</v>
      </c>
      <c r="C286" s="36" t="s">
        <v>356</v>
      </c>
      <c r="D286" s="36" t="s">
        <v>433</v>
      </c>
      <c r="E286" s="36" t="s">
        <v>457</v>
      </c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36" t="s">
        <v>68</v>
      </c>
      <c r="B287" s="36" t="s">
        <v>0</v>
      </c>
      <c r="C287" s="36" t="s">
        <v>356</v>
      </c>
      <c r="D287" s="36" t="s">
        <v>433</v>
      </c>
      <c r="E287" s="36" t="s">
        <v>11</v>
      </c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36" t="s">
        <v>68</v>
      </c>
      <c r="B288" s="36" t="s">
        <v>0</v>
      </c>
      <c r="C288" s="36" t="s">
        <v>356</v>
      </c>
      <c r="D288" s="36" t="s">
        <v>433</v>
      </c>
      <c r="E288" s="36" t="s">
        <v>458</v>
      </c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36" t="s">
        <v>68</v>
      </c>
      <c r="B289" s="36" t="s">
        <v>0</v>
      </c>
      <c r="C289" s="36" t="s">
        <v>356</v>
      </c>
      <c r="D289" s="36" t="s">
        <v>433</v>
      </c>
      <c r="E289" s="36" t="s">
        <v>13</v>
      </c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36" t="s">
        <v>68</v>
      </c>
      <c r="B290" s="36" t="s">
        <v>0</v>
      </c>
      <c r="C290" s="36" t="s">
        <v>356</v>
      </c>
      <c r="D290" s="36" t="s">
        <v>459</v>
      </c>
      <c r="E290" s="36" t="s">
        <v>18</v>
      </c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36" t="s">
        <v>68</v>
      </c>
      <c r="B291" s="36" t="s">
        <v>0</v>
      </c>
      <c r="C291" s="36" t="s">
        <v>356</v>
      </c>
      <c r="D291" s="36" t="s">
        <v>459</v>
      </c>
      <c r="E291" s="36" t="s">
        <v>460</v>
      </c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36" t="s">
        <v>68</v>
      </c>
      <c r="B292" s="36" t="s">
        <v>0</v>
      </c>
      <c r="C292" s="36" t="s">
        <v>356</v>
      </c>
      <c r="D292" s="36" t="s">
        <v>459</v>
      </c>
      <c r="E292" s="36" t="s">
        <v>461</v>
      </c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36" t="s">
        <v>68</v>
      </c>
      <c r="B293" s="36" t="s">
        <v>0</v>
      </c>
      <c r="C293" s="36" t="s">
        <v>356</v>
      </c>
      <c r="D293" s="36" t="s">
        <v>459</v>
      </c>
      <c r="E293" s="36" t="s">
        <v>462</v>
      </c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36" t="s">
        <v>68</v>
      </c>
      <c r="B294" s="36" t="s">
        <v>0</v>
      </c>
      <c r="C294" s="36" t="s">
        <v>356</v>
      </c>
      <c r="D294" s="36" t="s">
        <v>459</v>
      </c>
      <c r="E294" s="36" t="s">
        <v>463</v>
      </c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36" t="s">
        <v>68</v>
      </c>
      <c r="B295" s="36" t="s">
        <v>0</v>
      </c>
      <c r="C295" s="36" t="s">
        <v>356</v>
      </c>
      <c r="D295" s="36" t="s">
        <v>464</v>
      </c>
      <c r="E295" s="36" t="s">
        <v>465</v>
      </c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36" t="s">
        <v>68</v>
      </c>
      <c r="B296" s="36" t="s">
        <v>0</v>
      </c>
      <c r="C296" s="36" t="s">
        <v>356</v>
      </c>
      <c r="D296" s="36" t="s">
        <v>464</v>
      </c>
      <c r="E296" s="36" t="s">
        <v>466</v>
      </c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36" t="s">
        <v>68</v>
      </c>
      <c r="B297" s="36" t="s">
        <v>0</v>
      </c>
      <c r="C297" s="36" t="s">
        <v>356</v>
      </c>
      <c r="D297" s="36" t="s">
        <v>467</v>
      </c>
      <c r="E297" s="36" t="s">
        <v>468</v>
      </c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36" t="s">
        <v>68</v>
      </c>
      <c r="B298" s="36" t="s">
        <v>0</v>
      </c>
      <c r="C298" s="36" t="s">
        <v>356</v>
      </c>
      <c r="D298" s="36" t="s">
        <v>467</v>
      </c>
      <c r="E298" s="36" t="s">
        <v>469</v>
      </c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36" t="s">
        <v>68</v>
      </c>
      <c r="B299" s="36" t="s">
        <v>0</v>
      </c>
      <c r="C299" s="36" t="s">
        <v>356</v>
      </c>
      <c r="D299" s="36" t="s">
        <v>470</v>
      </c>
      <c r="E299" s="36" t="s">
        <v>16</v>
      </c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36" t="s">
        <v>68</v>
      </c>
      <c r="B300" s="36" t="s">
        <v>0</v>
      </c>
      <c r="C300" s="36" t="s">
        <v>356</v>
      </c>
      <c r="D300" s="36" t="s">
        <v>418</v>
      </c>
      <c r="E300" s="36" t="s">
        <v>471</v>
      </c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36" t="s">
        <v>68</v>
      </c>
      <c r="B301" s="36" t="s">
        <v>0</v>
      </c>
      <c r="C301" s="36" t="s">
        <v>356</v>
      </c>
      <c r="D301" s="36" t="s">
        <v>418</v>
      </c>
      <c r="E301" s="36" t="s">
        <v>472</v>
      </c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36" t="s">
        <v>68</v>
      </c>
      <c r="B302" s="36" t="s">
        <v>0</v>
      </c>
      <c r="C302" s="36" t="s">
        <v>356</v>
      </c>
      <c r="D302" s="36" t="s">
        <v>418</v>
      </c>
      <c r="E302" s="36" t="s">
        <v>10</v>
      </c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36" t="s">
        <v>68</v>
      </c>
      <c r="B303" s="36" t="s">
        <v>0</v>
      </c>
      <c r="C303" s="36" t="s">
        <v>473</v>
      </c>
      <c r="D303" s="36" t="s">
        <v>418</v>
      </c>
      <c r="E303" s="36" t="s">
        <v>17</v>
      </c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36" t="s">
        <v>68</v>
      </c>
      <c r="B304" s="36" t="s">
        <v>0</v>
      </c>
      <c r="C304" s="36" t="s">
        <v>356</v>
      </c>
      <c r="D304" s="36" t="s">
        <v>418</v>
      </c>
      <c r="E304" s="36" t="s">
        <v>474</v>
      </c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36" t="s">
        <v>68</v>
      </c>
      <c r="B305" s="36" t="s">
        <v>0</v>
      </c>
      <c r="C305" s="36" t="s">
        <v>473</v>
      </c>
      <c r="D305" s="36" t="s">
        <v>418</v>
      </c>
      <c r="E305" s="36" t="s">
        <v>475</v>
      </c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36" t="s">
        <v>68</v>
      </c>
      <c r="B306" s="36" t="s">
        <v>0</v>
      </c>
      <c r="C306" s="36" t="s">
        <v>356</v>
      </c>
      <c r="D306" s="36" t="s">
        <v>418</v>
      </c>
      <c r="E306" s="36" t="s">
        <v>476</v>
      </c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36" t="s">
        <v>68</v>
      </c>
      <c r="B307" s="36" t="s">
        <v>0</v>
      </c>
      <c r="C307" s="36" t="s">
        <v>473</v>
      </c>
      <c r="D307" s="36" t="s">
        <v>418</v>
      </c>
      <c r="E307" s="36" t="s">
        <v>477</v>
      </c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36" t="s">
        <v>68</v>
      </c>
      <c r="B308" s="36" t="s">
        <v>0</v>
      </c>
      <c r="C308" s="36" t="s">
        <v>473</v>
      </c>
      <c r="D308" s="36" t="s">
        <v>418</v>
      </c>
      <c r="E308" s="36" t="s">
        <v>478</v>
      </c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36" t="s">
        <v>68</v>
      </c>
      <c r="B309" s="36" t="s">
        <v>0</v>
      </c>
      <c r="C309" s="36" t="s">
        <v>473</v>
      </c>
      <c r="D309" s="36" t="s">
        <v>418</v>
      </c>
      <c r="E309" s="36" t="s">
        <v>479</v>
      </c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36" t="s">
        <v>68</v>
      </c>
      <c r="B310" s="36" t="s">
        <v>0</v>
      </c>
      <c r="C310" s="36" t="s">
        <v>473</v>
      </c>
      <c r="D310" s="36" t="s">
        <v>418</v>
      </c>
      <c r="E310" s="36" t="s">
        <v>7</v>
      </c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36" t="s">
        <v>68</v>
      </c>
      <c r="B311" s="36" t="s">
        <v>0</v>
      </c>
      <c r="C311" s="36" t="s">
        <v>473</v>
      </c>
      <c r="D311" s="36" t="s">
        <v>470</v>
      </c>
      <c r="E311" s="36" t="s">
        <v>480</v>
      </c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36" t="s">
        <v>68</v>
      </c>
      <c r="B312" s="36" t="s">
        <v>0</v>
      </c>
      <c r="C312" s="36" t="s">
        <v>473</v>
      </c>
      <c r="D312" s="36" t="s">
        <v>418</v>
      </c>
      <c r="E312" s="36" t="s">
        <v>481</v>
      </c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36" t="s">
        <v>68</v>
      </c>
      <c r="B313" s="36" t="s">
        <v>0</v>
      </c>
      <c r="C313" s="36" t="s">
        <v>473</v>
      </c>
      <c r="D313" s="36" t="s">
        <v>482</v>
      </c>
      <c r="E313" s="36" t="s">
        <v>483</v>
      </c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36" t="s">
        <v>68</v>
      </c>
      <c r="B314" s="36" t="s">
        <v>0</v>
      </c>
      <c r="C314" s="36" t="s">
        <v>473</v>
      </c>
      <c r="D314" s="36" t="s">
        <v>418</v>
      </c>
      <c r="E314" s="36" t="s">
        <v>484</v>
      </c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36" t="s">
        <v>68</v>
      </c>
      <c r="B315" s="36" t="s">
        <v>0</v>
      </c>
      <c r="C315" s="36" t="s">
        <v>473</v>
      </c>
      <c r="D315" s="36" t="s">
        <v>485</v>
      </c>
      <c r="E315" s="36" t="s">
        <v>486</v>
      </c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36" t="s">
        <v>68</v>
      </c>
      <c r="B316" s="36" t="s">
        <v>0</v>
      </c>
      <c r="C316" s="36" t="s">
        <v>473</v>
      </c>
      <c r="D316" s="36" t="s">
        <v>487</v>
      </c>
      <c r="E316" s="36" t="s">
        <v>488</v>
      </c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36" t="s">
        <v>68</v>
      </c>
      <c r="B317" s="36" t="s">
        <v>0</v>
      </c>
      <c r="C317" s="36" t="s">
        <v>473</v>
      </c>
      <c r="D317" s="36" t="s">
        <v>418</v>
      </c>
      <c r="E317" s="36" t="s">
        <v>489</v>
      </c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36" t="s">
        <v>68</v>
      </c>
      <c r="B318" s="36" t="s">
        <v>0</v>
      </c>
      <c r="C318" s="36" t="s">
        <v>473</v>
      </c>
      <c r="D318" s="36" t="s">
        <v>490</v>
      </c>
      <c r="E318" s="36" t="s">
        <v>491</v>
      </c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36" t="s">
        <v>68</v>
      </c>
      <c r="B319" s="36" t="s">
        <v>0</v>
      </c>
      <c r="C319" s="36" t="s">
        <v>473</v>
      </c>
      <c r="D319" s="36" t="s">
        <v>490</v>
      </c>
      <c r="E319" s="36" t="s">
        <v>492</v>
      </c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36" t="s">
        <v>68</v>
      </c>
      <c r="B320" s="36" t="s">
        <v>0</v>
      </c>
      <c r="C320" s="36" t="s">
        <v>473</v>
      </c>
      <c r="D320" s="36" t="s">
        <v>490</v>
      </c>
      <c r="E320" s="36" t="s">
        <v>493</v>
      </c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36" t="s">
        <v>68</v>
      </c>
      <c r="B321" s="36" t="s">
        <v>0</v>
      </c>
      <c r="C321" s="36" t="s">
        <v>473</v>
      </c>
      <c r="D321" s="36" t="s">
        <v>490</v>
      </c>
      <c r="E321" s="36" t="s">
        <v>494</v>
      </c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36" t="s">
        <v>68</v>
      </c>
      <c r="B322" s="36" t="s">
        <v>0</v>
      </c>
      <c r="C322" s="36" t="s">
        <v>473</v>
      </c>
      <c r="D322" s="36" t="s">
        <v>418</v>
      </c>
      <c r="E322" s="36" t="s">
        <v>495</v>
      </c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36" t="s">
        <v>68</v>
      </c>
      <c r="B323" s="36" t="s">
        <v>0</v>
      </c>
      <c r="C323" s="36" t="s">
        <v>473</v>
      </c>
      <c r="D323" s="36" t="s">
        <v>379</v>
      </c>
      <c r="E323" s="36" t="s">
        <v>496</v>
      </c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36" t="s">
        <v>68</v>
      </c>
      <c r="B324" s="36" t="s">
        <v>0</v>
      </c>
      <c r="C324" s="36" t="s">
        <v>473</v>
      </c>
      <c r="D324" s="36" t="s">
        <v>487</v>
      </c>
      <c r="E324" s="36" t="s">
        <v>497</v>
      </c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36" t="s">
        <v>68</v>
      </c>
      <c r="B325" s="36" t="s">
        <v>0</v>
      </c>
      <c r="C325" s="36" t="s">
        <v>473</v>
      </c>
      <c r="D325" s="36" t="s">
        <v>487</v>
      </c>
      <c r="E325" s="36" t="s">
        <v>498</v>
      </c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36" t="s">
        <v>68</v>
      </c>
      <c r="B326" s="36" t="s">
        <v>0</v>
      </c>
      <c r="C326" s="36" t="s">
        <v>473</v>
      </c>
      <c r="D326" s="36" t="s">
        <v>487</v>
      </c>
      <c r="E326" s="36" t="s">
        <v>499</v>
      </c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36" t="s">
        <v>68</v>
      </c>
      <c r="B327" s="36" t="s">
        <v>0</v>
      </c>
      <c r="C327" s="36" t="s">
        <v>487</v>
      </c>
      <c r="D327" s="36" t="s">
        <v>487</v>
      </c>
      <c r="E327" s="36" t="s">
        <v>500</v>
      </c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36" t="s">
        <v>68</v>
      </c>
      <c r="B328" s="36" t="s">
        <v>0</v>
      </c>
      <c r="C328" s="36" t="s">
        <v>356</v>
      </c>
      <c r="D328" s="36" t="s">
        <v>487</v>
      </c>
      <c r="E328" s="36" t="s">
        <v>501</v>
      </c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36" t="s">
        <v>68</v>
      </c>
      <c r="B329" s="36" t="s">
        <v>0</v>
      </c>
      <c r="C329" s="36" t="s">
        <v>487</v>
      </c>
      <c r="D329" s="36" t="s">
        <v>487</v>
      </c>
      <c r="E329" s="36" t="s">
        <v>502</v>
      </c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36" t="s">
        <v>68</v>
      </c>
      <c r="B330" s="36" t="s">
        <v>0</v>
      </c>
      <c r="C330" s="36" t="s">
        <v>487</v>
      </c>
      <c r="D330" s="36" t="s">
        <v>487</v>
      </c>
      <c r="E330" s="36" t="s">
        <v>503</v>
      </c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36" t="s">
        <v>68</v>
      </c>
      <c r="B331" s="36" t="s">
        <v>0</v>
      </c>
      <c r="C331" s="36" t="s">
        <v>487</v>
      </c>
      <c r="D331" s="36" t="s">
        <v>487</v>
      </c>
      <c r="E331" s="36" t="s">
        <v>504</v>
      </c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36" t="s">
        <v>68</v>
      </c>
      <c r="B332" s="36" t="s">
        <v>0</v>
      </c>
      <c r="C332" s="36" t="s">
        <v>487</v>
      </c>
      <c r="D332" s="36" t="s">
        <v>487</v>
      </c>
      <c r="E332" s="36" t="s">
        <v>505</v>
      </c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36" t="s">
        <v>68</v>
      </c>
      <c r="B333" s="36" t="s">
        <v>0</v>
      </c>
      <c r="C333" s="36" t="s">
        <v>473</v>
      </c>
      <c r="D333" s="36" t="s">
        <v>487</v>
      </c>
      <c r="E333" s="36" t="s">
        <v>506</v>
      </c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36" t="s">
        <v>68</v>
      </c>
      <c r="B334" s="36" t="s">
        <v>0</v>
      </c>
      <c r="C334" s="36" t="s">
        <v>487</v>
      </c>
      <c r="D334" s="36" t="s">
        <v>487</v>
      </c>
      <c r="E334" s="36" t="s">
        <v>507</v>
      </c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36" t="s">
        <v>68</v>
      </c>
      <c r="B335" s="36" t="s">
        <v>0</v>
      </c>
      <c r="C335" s="36" t="s">
        <v>487</v>
      </c>
      <c r="D335" s="36" t="s">
        <v>487</v>
      </c>
      <c r="E335" s="36" t="s">
        <v>508</v>
      </c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36" t="s">
        <v>68</v>
      </c>
      <c r="B336" s="36" t="s">
        <v>0</v>
      </c>
      <c r="C336" s="36" t="s">
        <v>487</v>
      </c>
      <c r="D336" s="36" t="s">
        <v>487</v>
      </c>
      <c r="E336" s="36" t="s">
        <v>509</v>
      </c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36" t="s">
        <v>68</v>
      </c>
      <c r="B337" s="36" t="s">
        <v>0</v>
      </c>
      <c r="C337" s="36" t="s">
        <v>473</v>
      </c>
      <c r="D337" s="36" t="s">
        <v>487</v>
      </c>
      <c r="E337" s="36" t="s">
        <v>510</v>
      </c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36" t="s">
        <v>68</v>
      </c>
      <c r="B338" s="36" t="s">
        <v>0</v>
      </c>
      <c r="C338" s="36" t="s">
        <v>473</v>
      </c>
      <c r="D338" s="36" t="s">
        <v>511</v>
      </c>
      <c r="E338" s="36" t="s">
        <v>512</v>
      </c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36" t="s">
        <v>68</v>
      </c>
      <c r="B339" s="36" t="s">
        <v>0</v>
      </c>
      <c r="C339" s="36" t="s">
        <v>473</v>
      </c>
      <c r="D339" s="36" t="s">
        <v>511</v>
      </c>
      <c r="E339" s="36" t="s">
        <v>513</v>
      </c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36" t="s">
        <v>68</v>
      </c>
      <c r="B340" s="36" t="s">
        <v>0</v>
      </c>
      <c r="C340" s="36" t="s">
        <v>473</v>
      </c>
      <c r="D340" s="36" t="s">
        <v>511</v>
      </c>
      <c r="E340" s="36" t="s">
        <v>514</v>
      </c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36" t="s">
        <v>68</v>
      </c>
      <c r="B341" s="36" t="s">
        <v>0</v>
      </c>
      <c r="C341" s="36" t="s">
        <v>473</v>
      </c>
      <c r="D341" s="36" t="s">
        <v>511</v>
      </c>
      <c r="E341" s="36" t="s">
        <v>515</v>
      </c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36" t="s">
        <v>68</v>
      </c>
      <c r="B342" s="36" t="s">
        <v>0</v>
      </c>
      <c r="C342" s="36" t="s">
        <v>473</v>
      </c>
      <c r="D342" s="36" t="s">
        <v>511</v>
      </c>
      <c r="E342" s="36" t="s">
        <v>516</v>
      </c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39"/>
      <c r="B343" s="39"/>
      <c r="C343" s="39"/>
      <c r="D343" s="39"/>
      <c r="E343" s="39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39"/>
      <c r="B344" s="39"/>
      <c r="C344" s="39"/>
      <c r="D344" s="39"/>
      <c r="E344" s="39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39"/>
      <c r="B345" s="39"/>
      <c r="C345" s="39"/>
      <c r="D345" s="39"/>
      <c r="E345" s="39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39"/>
      <c r="B346" s="39"/>
      <c r="C346" s="39"/>
      <c r="D346" s="39"/>
      <c r="E346" s="39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39"/>
      <c r="B347" s="39"/>
      <c r="C347" s="39"/>
      <c r="D347" s="39"/>
      <c r="E347" s="39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39"/>
      <c r="B348" s="39"/>
      <c r="C348" s="39"/>
      <c r="D348" s="39"/>
      <c r="E348" s="39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39"/>
      <c r="B349" s="39"/>
      <c r="C349" s="39"/>
      <c r="D349" s="39"/>
      <c r="E349" s="39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39"/>
      <c r="B350" s="39"/>
      <c r="C350" s="39"/>
      <c r="D350" s="39"/>
      <c r="E350" s="39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39"/>
      <c r="B351" s="39"/>
      <c r="C351" s="39"/>
      <c r="D351" s="39"/>
      <c r="E351" s="39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39"/>
      <c r="B352" s="39"/>
      <c r="C352" s="39"/>
      <c r="D352" s="39"/>
      <c r="E352" s="39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39"/>
      <c r="B353" s="39"/>
      <c r="C353" s="39"/>
      <c r="D353" s="39"/>
      <c r="E353" s="39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39"/>
      <c r="B354" s="39"/>
      <c r="C354" s="39"/>
      <c r="D354" s="39"/>
      <c r="E354" s="39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39"/>
      <c r="B355" s="39"/>
      <c r="C355" s="39"/>
      <c r="D355" s="39"/>
      <c r="E355" s="39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39"/>
      <c r="B356" s="39"/>
      <c r="C356" s="39"/>
      <c r="D356" s="39"/>
      <c r="E356" s="39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39"/>
      <c r="B357" s="39"/>
      <c r="C357" s="39"/>
      <c r="D357" s="39"/>
      <c r="E357" s="39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